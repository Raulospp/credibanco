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8.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9.xml" ContentType="application/vnd.openxmlformats-officedocument.drawing+xml"/>
  <Override PartName="/xl/drawings/drawing10.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11.xml" ContentType="application/vnd.openxmlformats-officedocument.drawing+xml"/>
  <Override PartName="/xl/drawings/drawing12.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6.xml" ContentType="application/vnd.openxmlformats-officedocument.drawing+xml"/>
  <Override PartName="/xl/comments10.xml" ContentType="application/vnd.openxmlformats-officedocument.spreadsheetml.comments+xml"/>
  <Override PartName="/xl/drawings/drawing17.xml" ContentType="application/vnd.openxmlformats-officedocument.drawing+xml"/>
  <Override PartName="/xl/drawings/drawing18.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mintic-my.sharepoint.com/personal/jriascos_mintic_gov_co/Documents/2023/MRAE/2023/MRAE/V3/MGGTI/Guia PETI y Anexos 3.0/"/>
    </mc:Choice>
  </mc:AlternateContent>
  <xr:revisionPtr revIDLastSave="793" documentId="13_ncr:1_{8E12A253-63AC-490E-9424-0CE7267F53D9}" xr6:coauthVersionLast="47" xr6:coauthVersionMax="47" xr10:uidLastSave="{6AD6C1B2-313E-4BF2-A3A8-0771AA06DDD0}"/>
  <bookViews>
    <workbookView xWindow="-120" yWindow="-120" windowWidth="19905" windowHeight="11160" tabRatio="965" activeTab="2" xr2:uid="{DA86C283-A491-44A3-B1C4-5B86EB9D0306}"/>
  </bookViews>
  <sheets>
    <sheet name="Fases y Actvidades" sheetId="18" r:id="rId1"/>
    <sheet name="Actividad 1" sheetId="1" r:id="rId2"/>
    <sheet name="Actividad 3" sheetId="15" r:id="rId3"/>
    <sheet name="Actividad 4A" sheetId="2" r:id="rId4"/>
    <sheet name="Actividad 4B" sheetId="34" r:id="rId5"/>
    <sheet name="Actividad 4C" sheetId="3" r:id="rId6"/>
    <sheet name="Actividad 4D" sheetId="36" r:id="rId7"/>
    <sheet name="Actividad 5" sheetId="37" r:id="rId8"/>
    <sheet name="Actividad 6" sheetId="7" r:id="rId9"/>
    <sheet name="Actividad 7" sheetId="17" r:id="rId10"/>
    <sheet name="Actividad 8" sheetId="26" r:id="rId11"/>
    <sheet name="Actividad 11" sheetId="12" r:id="rId12"/>
    <sheet name="Actividad 12" sheetId="31" r:id="rId13"/>
    <sheet name="Actividad 13" sheetId="13" r:id="rId14"/>
    <sheet name="Actividad 14 A" sheetId="29" r:id="rId15"/>
    <sheet name="Actividad 14 B" sheetId="39" r:id="rId16"/>
    <sheet name="Actividad 17" sheetId="28" r:id="rId17"/>
    <sheet name="Litas parametricas" sheetId="38" r:id="rId18"/>
    <sheet name="Calificaciones Sesión 4" sheetId="5" state="hidden" r:id="rId19"/>
  </sheets>
  <definedNames>
    <definedName name="_ftn1" localSheetId="3">'Actividad 4A'!#REF!</definedName>
    <definedName name="_ftn1" localSheetId="4">'Actividad 4B'!#REF!</definedName>
    <definedName name="_ftn2" localSheetId="3">'Actividad 4A'!#REF!</definedName>
    <definedName name="_ftn2" localSheetId="4">'Actividad 4B'!#REF!</definedName>
    <definedName name="_ftn3" localSheetId="3">'Actividad 4A'!#REF!</definedName>
    <definedName name="_ftn3" localSheetId="4">'Actividad 4B'!#REF!</definedName>
    <definedName name="_ftn4" localSheetId="3">'Actividad 4A'!#REF!</definedName>
    <definedName name="_ftn4" localSheetId="4">'Actividad 4B'!#REF!</definedName>
    <definedName name="_ftnref1" localSheetId="3">'Actividad 4A'!#REF!</definedName>
    <definedName name="_ftnref1" localSheetId="4">'Actividad 4B'!#REF!</definedName>
    <definedName name="_ftnref2" localSheetId="3">'Actividad 4A'!#REF!</definedName>
    <definedName name="_ftnref2" localSheetId="4">'Actividad 4B'!#REF!</definedName>
    <definedName name="_ftnref3" localSheetId="3">'Actividad 4A'!#REF!</definedName>
    <definedName name="_ftnref3" localSheetId="4">'Actividad 4B'!#REF!</definedName>
    <definedName name="_ftnref4" localSheetId="3">'Actividad 4A'!$E$10</definedName>
    <definedName name="_ftnref4" localSheetId="4">'Actividad 4B'!#REF!</definedName>
    <definedName name="_Hlk8652917" localSheetId="0">'Fases y Actvidades'!$A$4</definedName>
    <definedName name="_xlnm.Print_Titles" localSheetId="11">'Actividad 11'!$1:$7</definedName>
    <definedName name="_xlnm.Print_Titles" localSheetId="9">'Actividad 7'!$1:$9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tc={B5B6759E-DDC1-4CD2-97E1-1C2BDFC35F88}</author>
  </authors>
  <commentList>
    <comment ref="A8" authorId="0" shapeId="0" xr:uid="{B5B6759E-DDC1-4CD2-97E1-1C2BDFC35F88}">
      <text>
        <t>[Comentario encadenado]
Su versión de Excel le permite leer este comentario encadenado; sin embargo, las ediciones que se apliquen se quitarán si el archivo se abre en una versión más reciente de Excel. Más información: https://go.microsoft.com/fwlink/?linkid=870924
Comentario:
    Liste las personas que trabajaran en el levantamiento, análisis y construcción del PETI. Para cada persona identifique el rol que va a despeñar y el àrea a la que pertenece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tc={A074A945-F438-484F-ADA9-3E7491594C08}</author>
  </authors>
  <commentList>
    <comment ref="C10" authorId="0" shapeId="0" xr:uid="{A074A945-F438-484F-ADA9-3E7491594C08}">
      <text>
        <t>[Comentario encadenado]
Su versión de Excel le permite leer este comentario encadenado; sin embargo, las ediciones que se apliquen se quitarán si el archivo se abre en una versión más reciente de Excel. Más información: https://go.microsoft.com/fwlink/?linkid=870924
Comentario:
    Las actividades son de ejemplo, la entidad puede utilizarlas complementarlas o eliminar las que considere que no aplican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tc={18A83D7B-2E8A-4AE7-9DAC-18DBF05574D7}</author>
    <author>tc={AB4DD725-A25B-4081-B18B-263B0ADAA7E3}</author>
  </authors>
  <commentList>
    <comment ref="J7" authorId="0" shapeId="0" xr:uid="{18A83D7B-2E8A-4AE7-9DAC-18DBF05574D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Aquí se debe indicar los sistemas de información y aplicaciones </t>
      </text>
    </comment>
    <comment ref="G8" authorId="1" shapeId="0" xr:uid="{AB4DD725-A25B-4081-B18B-263B0ADAA7E3}">
      <text>
        <t>[Comentario encadenado]
Su versión de Excel le permite leer este comentario encadenado; sin embargo, las ediciones que se apliquen se quitarán si el archivo se abre en una versión más reciente de Excel. Más información: https://go.microsoft.com/fwlink/?linkid=870924
Comentario:
    Se debe indicar con una T, P, el sistema que apoya el proceso</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tc={50538820-CA89-459B-9812-D101080A231C}</author>
  </authors>
  <commentList>
    <comment ref="T8" authorId="0" shapeId="0" xr:uid="{50538820-CA89-459B-9812-D101080A231C}">
      <text>
        <t>[Comentario encadenado]
Su versión de Excel le permite leer este comentario encadenado; sin embargo, las ediciones que se apliquen se quitarán si el archivo se abre en una versión más reciente de Excel. Más información: https://go.microsoft.com/fwlink/?linkid=870924
Comentario:
    Indicar el nombre del canal</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tc={22BF39EE-4466-44DC-908B-9E52C3E0D473}</author>
  </authors>
  <commentList>
    <comment ref="E6" authorId="0" shapeId="0" xr:uid="{22BF39EE-4466-44DC-908B-9E52C3E0D473}">
      <text>
        <t>[Comentario encadenado]
Su versión de Excel le permite leer este comentario encadenado; sin embargo, las ediciones que se apliquen se quitarán si el archivo se abre en una versión más reciente de Excel. Más información: https://go.microsoft.com/fwlink/?linkid=870924
Comentario:
    Indicar si interna o externa</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tc={9387AE28-ED71-4F0B-9B8F-7082D8D2AD93}</author>
  </authors>
  <commentList>
    <comment ref="D7" authorId="0" shapeId="0" xr:uid="{9387AE28-ED71-4F0B-9B8F-7082D8D2AD9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Indicar la obligacion o responsabilidad e indicar el articulo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tc={02FF1250-2725-4B41-BD66-F1E206C460D0}</author>
    <author>tc={92B34008-BC81-4F62-9F0B-74D5C5075DAA}</author>
  </authors>
  <commentList>
    <comment ref="E9" authorId="0" shapeId="0" xr:uid="{02FF1250-2725-4B41-BD66-F1E206C460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Adicione servicios, tramites o proceso que puedan ser mejorados haciendo uso de la tecnología identificada en la fila. </t>
      </text>
    </comment>
    <comment ref="A24" authorId="1" shapeId="0" xr:uid="{92B34008-BC81-4F62-9F0B-74D5C5075DAA}">
      <text>
        <t>[Comentario encadenado]
Su versión de Excel le permite leer este comentario encadenado; sin embargo, las ediciones que se apliquen se quitarán si el archivo se abre en una versión más reciente de Excel. Más información: https://go.microsoft.com/fwlink/?linkid=870924
Comentario:
    Adiciones otras tecnologías emergentes o nuevas que puedan contribuir a la mejora del servicio, tramite con el proceso</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tc={BF8D7C81-2222-46FF-B1C3-A77B8EC2AD0E}</author>
  </authors>
  <commentList>
    <comment ref="D7" authorId="0" shapeId="0" xr:uid="{BF8D7C81-2222-46FF-B1C3-A77B8EC2AD0E}">
      <text>
        <t>[Comentario encadenado]
Su versión de Excel le permite leer este comentario encadenado; sin embargo, las ediciones que se apliquen se quitarán si el archivo se abre en una versión más reciente de Excel. Más información: https://go.microsoft.com/fwlink/?linkid=870924
Comentario:
    Se recomienda que las acciones de crear se coloquen en letra verde, las de eliminar en letra rojo y las de modificar en letra azul</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tc={632F6234-A4D8-419C-AD92-D7C336379A0B}</author>
    <author>tc={115114CF-2DEB-4685-A6D9-ED5D679D4333}</author>
  </authors>
  <commentList>
    <comment ref="C8" authorId="0" shapeId="0" xr:uid="{632F6234-A4D8-419C-AD92-D7C336379A0B}">
      <text>
        <t>[Comentario encadenado]
Su versión de Excel le permite leer este comentario encadenado; sin embargo, las ediciones que se apliquen se quitarán si el archivo se abre en una versión más reciente de Excel. Más información: https://go.microsoft.com/fwlink/?linkid=870924
Comentario:
    eficiencia , calidad y eficacia</t>
      </text>
    </comment>
    <comment ref="D8" authorId="1" shapeId="0" xr:uid="{115114CF-2DEB-4685-A6D9-ED5D679D4333}">
      <text>
        <t>[Comentario encadenado]
Su versión de Excel le permite leer este comentario encadenado; sin embargo, las ediciones que se apliquen se quitarán si el archivo se abre en una versión más reciente de Excel. Más información: https://go.microsoft.com/fwlink/?linkid=870924
Comentario:
    Estrategico, de proyectos, de operación</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dora cardozo de arenas</author>
  </authors>
  <commentList>
    <comment ref="A7" authorId="0" shapeId="0" xr:uid="{BD5E476E-76FD-494E-BE03-FB48EA7E7B5A}">
      <text>
        <r>
          <rPr>
            <b/>
            <sz val="9"/>
            <color indexed="81"/>
            <rFont val="Tahoma"/>
            <family val="2"/>
          </rPr>
          <t>Código o Identificador del indicador dentro de la entidad.</t>
        </r>
        <r>
          <rPr>
            <sz val="9"/>
            <color indexed="81"/>
            <rFont val="Tahoma"/>
            <family val="2"/>
          </rPr>
          <t xml:space="preserve">
</t>
        </r>
      </text>
    </comment>
    <comment ref="C7" authorId="0" shapeId="0" xr:uid="{916F8EF8-2B50-4B32-8BE1-886B0B67C3A2}">
      <text>
        <r>
          <rPr>
            <b/>
            <sz val="9"/>
            <color indexed="81"/>
            <rFont val="Tahoma"/>
            <family val="2"/>
          </rPr>
          <t>Detalle del indicador, el cual explica el objetivo y el uso del indicador.</t>
        </r>
        <r>
          <rPr>
            <sz val="9"/>
            <color indexed="81"/>
            <rFont val="Tahoma"/>
            <family val="2"/>
          </rPr>
          <t xml:space="preserve">
</t>
        </r>
      </text>
    </comment>
    <comment ref="D7" authorId="0" shapeId="0" xr:uid="{E140BF49-C76F-4307-B696-534DE45A3CFA}">
      <text>
        <r>
          <rPr>
            <b/>
            <sz val="9"/>
            <color indexed="81"/>
            <rFont val="Tahoma"/>
            <family val="2"/>
          </rPr>
          <t xml:space="preserve">- De operación
- De proyectos
- Estratégico
</t>
        </r>
        <r>
          <rPr>
            <sz val="9"/>
            <color indexed="81"/>
            <rFont val="Tahoma"/>
            <family val="2"/>
          </rPr>
          <t xml:space="preserve">
</t>
        </r>
      </text>
    </comment>
    <comment ref="E7" authorId="0" shapeId="0" xr:uid="{B9F269D1-924A-47FF-A9A5-45ABD6F8136B}">
      <text>
        <r>
          <rPr>
            <b/>
            <sz val="9"/>
            <color indexed="81"/>
            <rFont val="Tahoma"/>
            <family val="2"/>
          </rPr>
          <t>Explicación de cómo se calcula el indicador</t>
        </r>
        <r>
          <rPr>
            <sz val="9"/>
            <color indexed="81"/>
            <rFont val="Tahoma"/>
            <family val="2"/>
          </rPr>
          <t xml:space="preserve">
</t>
        </r>
      </text>
    </comment>
    <comment ref="F7" authorId="0" shapeId="0" xr:uid="{67738203-96EE-4CDF-A1C6-29881165C63C}">
      <text>
        <r>
          <rPr>
            <b/>
            <sz val="9"/>
            <color indexed="81"/>
            <rFont val="Tahoma"/>
            <family val="2"/>
          </rPr>
          <t>Periodicidad con la que se calcula el indicador (Tiempo real, mensual, quincenal, semanal, otro)</t>
        </r>
        <r>
          <rPr>
            <sz val="9"/>
            <color indexed="81"/>
            <rFont val="Tahoma"/>
            <family val="2"/>
          </rPr>
          <t xml:space="preserve">
</t>
        </r>
      </text>
    </comment>
    <comment ref="G7" authorId="0" shapeId="0" xr:uid="{8C62D13E-BDB0-4CEE-94F6-A72D9D1B10C7}">
      <text>
        <r>
          <rPr>
            <b/>
            <sz val="9"/>
            <color indexed="81"/>
            <rFont val="Tahoma"/>
            <family val="2"/>
          </rPr>
          <t xml:space="preserve">Documenta cómo se obtienen los datos necesarios para calcular el indicador, así como los mecanismos para acceder a ellos.  </t>
        </r>
      </text>
    </comment>
    <comment ref="H7" authorId="0" shapeId="0" xr:uid="{DC528893-9934-4F41-BE85-B1ABC207057A}">
      <text>
        <r>
          <rPr>
            <b/>
            <sz val="9"/>
            <color indexed="81"/>
            <rFont val="Tahoma"/>
            <family val="2"/>
          </rPr>
          <t>Persona encargada de reportar y analizar la información del indicador</t>
        </r>
        <r>
          <rPr>
            <sz val="9"/>
            <color indexed="81"/>
            <rFont val="Tahoma"/>
            <family val="2"/>
          </rPr>
          <t xml:space="preserve">
</t>
        </r>
      </text>
    </comment>
    <comment ref="M7" authorId="0" shapeId="0" xr:uid="{9291433D-ED82-475E-857D-63EA2F040609}">
      <text>
        <r>
          <rPr>
            <b/>
            <sz val="9"/>
            <color indexed="81"/>
            <rFont val="Tahoma"/>
            <family val="2"/>
          </rPr>
          <t>Cualquier comentario pertinente.</t>
        </r>
        <r>
          <rPr>
            <sz val="9"/>
            <color indexed="81"/>
            <rFont val="Tahoma"/>
            <family val="2"/>
          </rPr>
          <t xml:space="preserve">
</t>
        </r>
      </text>
    </comment>
  </commentList>
</comments>
</file>

<file path=xl/sharedStrings.xml><?xml version="1.0" encoding="utf-8"?>
<sst xmlns="http://schemas.openxmlformats.org/spreadsheetml/2006/main" count="482" uniqueCount="424">
  <si>
    <t>Fases</t>
  </si>
  <si>
    <t>Objetivo</t>
  </si>
  <si>
    <t>Área</t>
  </si>
  <si>
    <t>Nombre</t>
  </si>
  <si>
    <t>Ficha de la Entidad</t>
  </si>
  <si>
    <t>Nombre de la Entidad</t>
  </si>
  <si>
    <t>Municipio</t>
  </si>
  <si>
    <t>Orden o Suborden</t>
  </si>
  <si>
    <t>Presupuesto ejecutado en la  última vigencia en toda la entidad</t>
  </si>
  <si>
    <t>Naturaleza Jurídica</t>
  </si>
  <si>
    <t>Presupuesto de TI ejecutado última vigencia</t>
  </si>
  <si>
    <t>$###.###.###</t>
  </si>
  <si>
    <t>Nivel</t>
  </si>
  <si>
    <t>Fecha de última actualización plan estratégico institucional</t>
  </si>
  <si>
    <t>dd/mm/aaaa</t>
  </si>
  <si>
    <t>Fecha de última actualización plan estratégico de TI</t>
  </si>
  <si>
    <t>Estrategia de la Entidad</t>
  </si>
  <si>
    <t>Misión de la entidad</t>
  </si>
  <si>
    <t>Visión de la entidad</t>
  </si>
  <si>
    <t>Meta</t>
  </si>
  <si>
    <t>ID</t>
  </si>
  <si>
    <t>Medición actual</t>
  </si>
  <si>
    <t>Estrategia de TI</t>
  </si>
  <si>
    <t>Misión de TI</t>
  </si>
  <si>
    <t>Visión de TI</t>
  </si>
  <si>
    <t>Metas</t>
  </si>
  <si>
    <t>Servicios</t>
  </si>
  <si>
    <t>Variables</t>
  </si>
  <si>
    <t>Canales</t>
  </si>
  <si>
    <t>Áreas que participan</t>
  </si>
  <si>
    <t>Tipo de usuario</t>
  </si>
  <si>
    <t>Costos último año</t>
  </si>
  <si>
    <t>Nivel de satisfacción del servicio</t>
  </si>
  <si>
    <t># de PQR recibidas</t>
  </si>
  <si>
    <t>Nivel de complejidad actual</t>
  </si>
  <si>
    <t>Nivel de criticidad</t>
  </si>
  <si>
    <t>Nivel de valor al ciudadano</t>
  </si>
  <si>
    <t>Tiempo promedio del ciclo del servicio</t>
  </si>
  <si>
    <t>Nivel de riesgo de corrupción</t>
  </si>
  <si>
    <t>Canal 1</t>
  </si>
  <si>
    <t>Canal 2</t>
  </si>
  <si>
    <t>Canal 3</t>
  </si>
  <si>
    <t>Canal 4</t>
  </si>
  <si>
    <t>Canal 5</t>
  </si>
  <si>
    <t>Canal 6</t>
  </si>
  <si>
    <t>Canal 7</t>
  </si>
  <si>
    <t>Canal 8</t>
  </si>
  <si>
    <t>S01</t>
  </si>
  <si>
    <t>S02</t>
  </si>
  <si>
    <t>S03</t>
  </si>
  <si>
    <t>C01</t>
  </si>
  <si>
    <t>C02</t>
  </si>
  <si>
    <t>C03</t>
  </si>
  <si>
    <t>Habilitadores</t>
  </si>
  <si>
    <t>Barreras</t>
  </si>
  <si>
    <t>Origen Interno</t>
  </si>
  <si>
    <t>Fortalezas</t>
  </si>
  <si>
    <t>Debilidades</t>
  </si>
  <si>
    <t>¿Cuáles son las ventajas de la entidad en temas de TI?
¿Qué recursos tiene la entidad en temas de TI que no tienen otras entidades?
¿Qué sabe hacer la entidad muy bien en temas de TI?
¿Qué reconocimiento tiene la entidad en temas de TI?</t>
  </si>
  <si>
    <t xml:space="preserve">¿Qué puede mejorar la entidad en temas de TI?
¿Qué recursos hacen falta en temas de TI?
¿Qué capacidades hacen falta en la entidad en temas de TI?
¿Qué consideran los usuarios que debemos mejorar en temas de TI?
</t>
  </si>
  <si>
    <t>Origen Externo</t>
  </si>
  <si>
    <t>Oportunidades</t>
  </si>
  <si>
    <t>Amenazas</t>
  </si>
  <si>
    <t>¿Qué oportunidades existen para aprovechar al máximo las fortalezas de la entidad en temas de TI? 
¿Qué apoyo externo se podría utilizar para mejorar los servicios que ofrece la entidad y los temas de TI?</t>
  </si>
  <si>
    <t>¿Qué cambios externos en temas de TI pueden afectar la prestación de los servicios de la entidad?
¿Qué factores externos pueden generar más debilidades?
¿Qué cambios externos en temas de TI pueden afectar la prestación de los servicios de TI?</t>
  </si>
  <si>
    <t>Descripción</t>
  </si>
  <si>
    <t>Evaluación de tendencias tecnológicas</t>
  </si>
  <si>
    <t>Tendencias tecnológicas</t>
  </si>
  <si>
    <t>Características</t>
  </si>
  <si>
    <t>Cloud Computing</t>
  </si>
  <si>
    <t>Autoservicio bajo demanda (On-demand self-service)
Acceso amplio a la red
Conjunto común de recursos
Rápida elasticidad
Servicio medible</t>
  </si>
  <si>
    <t>Inteligencia Artificial - Machine Learning</t>
  </si>
  <si>
    <t>Predicciones sobre comportamientos, reacciones y tendencias en datos almacenados y clasificados</t>
  </si>
  <si>
    <t>Internet de las Cosas</t>
  </si>
  <si>
    <t>Interconexión de cualquier objeto o producto con otro a través de la red</t>
  </si>
  <si>
    <t>Big Data - Analítica</t>
  </si>
  <si>
    <t>Manejo de altos volúmenes de información y velocidad de los datos o rapidez en la que son creados</t>
  </si>
  <si>
    <t>BlockChain</t>
  </si>
  <si>
    <t>Transacciones automáticas confiables con integridad del proceso en bloques de transacción</t>
  </si>
  <si>
    <t>Microservicios - SOA</t>
  </si>
  <si>
    <t>Manejo de arquitectura descentralizada o software descompuesto en diferentes partes independientes</t>
  </si>
  <si>
    <t>DevOps</t>
  </si>
  <si>
    <t>Uso de contenedores que permiten el despliegue y desarrollo de aplicaciones rápidamente</t>
  </si>
  <si>
    <t>Plataformas de Ciberseguridad</t>
  </si>
  <si>
    <t>Análisis de todo el tráfico de red para la reducción de los ciberataques</t>
  </si>
  <si>
    <t>Realidad Aumentada</t>
  </si>
  <si>
    <t>Facilita el aprendizaje y enseñanza de una forma rápida y más adecuada</t>
  </si>
  <si>
    <t>Plataforma colaborativa</t>
  </si>
  <si>
    <t>Espacio digital común en una organización para la generación colaborativa de documentos y contenido digital en general</t>
  </si>
  <si>
    <t>Robótica y drones</t>
  </si>
  <si>
    <t>Elementos electromecánicos que pueden ejecutar tareas físicas para las cuales han sido diseñados. Ejemplo: Clasificación de frutas</t>
  </si>
  <si>
    <t>Impresión 3D</t>
  </si>
  <si>
    <t>Generación tridimensional de objetos a partir de apilamiento de capas, que en conjunto generan una figura que corresponde a un diseño previo</t>
  </si>
  <si>
    <t>Otra…</t>
  </si>
  <si>
    <t>OETI01</t>
  </si>
  <si>
    <t>METI01</t>
  </si>
  <si>
    <t>METI02</t>
  </si>
  <si>
    <t>OETI02</t>
  </si>
  <si>
    <t>METI03</t>
  </si>
  <si>
    <t>METI04</t>
  </si>
  <si>
    <t>OETI03</t>
  </si>
  <si>
    <t>METI05</t>
  </si>
  <si>
    <t>METI06</t>
  </si>
  <si>
    <t>OETI04</t>
  </si>
  <si>
    <t>METI07</t>
  </si>
  <si>
    <t>METI08</t>
  </si>
  <si>
    <t>OETI05</t>
  </si>
  <si>
    <t>METI09</t>
  </si>
  <si>
    <t>METI10</t>
  </si>
  <si>
    <t>Catálogo de brechas</t>
  </si>
  <si>
    <t>Nombre elemento
(Capacidad, recurso, rol, proceso. Ej. Sistema misional xx)</t>
  </si>
  <si>
    <t>Acción
[Crear, eliminar, modificar]</t>
  </si>
  <si>
    <t xml:space="preserve">Tiempo estimado total </t>
  </si>
  <si>
    <t>Costo estimado inversión total</t>
  </si>
  <si>
    <t>Proyecto en ejecución 
[SI, NO]</t>
  </si>
  <si>
    <t>B001</t>
  </si>
  <si>
    <t>B002</t>
  </si>
  <si>
    <t>B003</t>
  </si>
  <si>
    <t>B004</t>
  </si>
  <si>
    <t>B005</t>
  </si>
  <si>
    <t>B006</t>
  </si>
  <si>
    <t>B007</t>
  </si>
  <si>
    <t>B008</t>
  </si>
  <si>
    <t>B009</t>
  </si>
  <si>
    <t>B010</t>
  </si>
  <si>
    <t>B011</t>
  </si>
  <si>
    <t>B012</t>
  </si>
  <si>
    <t>B013</t>
  </si>
  <si>
    <t>B014</t>
  </si>
  <si>
    <t>B015</t>
  </si>
  <si>
    <t>B016</t>
  </si>
  <si>
    <t>B017</t>
  </si>
  <si>
    <t>B018</t>
  </si>
  <si>
    <t>B019</t>
  </si>
  <si>
    <t>B020</t>
  </si>
  <si>
    <t>B021</t>
  </si>
  <si>
    <t>B022</t>
  </si>
  <si>
    <t>B023</t>
  </si>
  <si>
    <t>B024</t>
  </si>
  <si>
    <t>B025</t>
  </si>
  <si>
    <t>B026</t>
  </si>
  <si>
    <t>B027</t>
  </si>
  <si>
    <t>B028</t>
  </si>
  <si>
    <t>B029</t>
  </si>
  <si>
    <t>B030</t>
  </si>
  <si>
    <t>B031</t>
  </si>
  <si>
    <t>B032</t>
  </si>
  <si>
    <t>B033</t>
  </si>
  <si>
    <t>B034</t>
  </si>
  <si>
    <t>B035</t>
  </si>
  <si>
    <t>B036</t>
  </si>
  <si>
    <t>B037</t>
  </si>
  <si>
    <t>B038</t>
  </si>
  <si>
    <t>B039</t>
  </si>
  <si>
    <t>B040</t>
  </si>
  <si>
    <t>Nombre Iniciativa</t>
  </si>
  <si>
    <t>Área Líder</t>
  </si>
  <si>
    <t>ID Metas estratégicas</t>
  </si>
  <si>
    <t>Áreas Involucradas</t>
  </si>
  <si>
    <t>Tiempo total estimado</t>
  </si>
  <si>
    <t>Fecha inicio estimada</t>
  </si>
  <si>
    <t>IT001</t>
  </si>
  <si>
    <t>IT002</t>
  </si>
  <si>
    <t>IT003</t>
  </si>
  <si>
    <t>IT004</t>
  </si>
  <si>
    <t>IT005</t>
  </si>
  <si>
    <t>IT006</t>
  </si>
  <si>
    <t>IT007</t>
  </si>
  <si>
    <t>IT008</t>
  </si>
  <si>
    <t>IT009</t>
  </si>
  <si>
    <t>IT010</t>
  </si>
  <si>
    <t>IT011</t>
  </si>
  <si>
    <t>IT012</t>
  </si>
  <si>
    <t>IT013</t>
  </si>
  <si>
    <t>IT014</t>
  </si>
  <si>
    <t>IT015</t>
  </si>
  <si>
    <t>IT016</t>
  </si>
  <si>
    <t>IT017</t>
  </si>
  <si>
    <t>IT018</t>
  </si>
  <si>
    <t>IT019</t>
  </si>
  <si>
    <t>IT020</t>
  </si>
  <si>
    <t>Plan asociado</t>
  </si>
  <si>
    <t>ID Servicios asociados</t>
  </si>
  <si>
    <t>Brechas</t>
  </si>
  <si>
    <t>IPGD001</t>
  </si>
  <si>
    <t>IPGD002</t>
  </si>
  <si>
    <t>IPGD003</t>
  </si>
  <si>
    <t>IPGD004</t>
  </si>
  <si>
    <t>IPGD005</t>
  </si>
  <si>
    <t>IPGD006</t>
  </si>
  <si>
    <t>IPGD007</t>
  </si>
  <si>
    <t>IPGD008</t>
  </si>
  <si>
    <t>IPGD009</t>
  </si>
  <si>
    <t>IPGD010</t>
  </si>
  <si>
    <t>IPGD011</t>
  </si>
  <si>
    <t>IPGD012</t>
  </si>
  <si>
    <t>IPGD013</t>
  </si>
  <si>
    <t>IPGD014</t>
  </si>
  <si>
    <t>IPGD015</t>
  </si>
  <si>
    <t>IPGD016</t>
  </si>
  <si>
    <t>IPGD017</t>
  </si>
  <si>
    <t>IPGD018</t>
  </si>
  <si>
    <t>IPGD019</t>
  </si>
  <si>
    <t>IPGD020</t>
  </si>
  <si>
    <t>J</t>
  </si>
  <si>
    <t>A</t>
  </si>
  <si>
    <t>S</t>
  </si>
  <si>
    <t>O</t>
  </si>
  <si>
    <t>N</t>
  </si>
  <si>
    <t>D</t>
  </si>
  <si>
    <t>E</t>
  </si>
  <si>
    <t>F</t>
  </si>
  <si>
    <t>M</t>
  </si>
  <si>
    <t>Grupo de interés</t>
  </si>
  <si>
    <t>Plan de comunicación del PETI</t>
  </si>
  <si>
    <t>Canal</t>
  </si>
  <si>
    <t>Formato</t>
  </si>
  <si>
    <t>Responsable</t>
  </si>
  <si>
    <t>Frecuencia</t>
  </si>
  <si>
    <t>Rangos</t>
  </si>
  <si>
    <t>Bueno</t>
  </si>
  <si>
    <t>a</t>
  </si>
  <si>
    <t>Intermedio</t>
  </si>
  <si>
    <t>Malo</t>
  </si>
  <si>
    <t>Objetivo de TI</t>
  </si>
  <si>
    <t>Tramite en linea</t>
  </si>
  <si>
    <t>Nivel Complejidad</t>
  </si>
  <si>
    <t>Nivel de satisfaccion</t>
  </si>
  <si>
    <t>Si</t>
  </si>
  <si>
    <t>Bajo</t>
  </si>
  <si>
    <t>No</t>
  </si>
  <si>
    <t>Medio</t>
  </si>
  <si>
    <t>Alto</t>
  </si>
  <si>
    <t>Actividades</t>
  </si>
  <si>
    <t>Primera fase: Planear</t>
  </si>
  <si>
    <t>Actividad 1: Conformar el equipo de trabajo e identificar stakeholders</t>
  </si>
  <si>
    <t>Actividad 2: Determinar el presupuesto y recursos para la elaboración del PETI</t>
  </si>
  <si>
    <t>Actividad 3: Establecer plan de trabajo y cronograma de trabajo</t>
  </si>
  <si>
    <t>Segunda fase: Analizar</t>
  </si>
  <si>
    <t xml:space="preserve">Actividad 4: Comprender el entorno organizacional </t>
  </si>
  <si>
    <t>Actividad 5: Analizar planes estratégicos externos y compromisos institucionales</t>
  </si>
  <si>
    <t>Tercera fase: Construir</t>
  </si>
  <si>
    <t xml:space="preserve">Actividad 13 Consolidar y priorizar iniciativas y construir hoja de ruta de proyectos </t>
  </si>
  <si>
    <t>Cuarta fase: Socializar</t>
  </si>
  <si>
    <t>Equipo para la construcción del PETI</t>
  </si>
  <si>
    <t>Rol</t>
  </si>
  <si>
    <t>Nombre de la persona</t>
  </si>
  <si>
    <t>Stakeholders claves</t>
  </si>
  <si>
    <t>Aporte</t>
  </si>
  <si>
    <t>correo electrónico</t>
  </si>
  <si>
    <t>Telefono Mòvil</t>
  </si>
  <si>
    <t>Existe la persona con el perfil en la entidad? (SI/NO)</t>
  </si>
  <si>
    <t>Fase</t>
  </si>
  <si>
    <t>Fase Analizar</t>
  </si>
  <si>
    <t>Fase Construir</t>
  </si>
  <si>
    <t>Fase Socializar</t>
  </si>
  <si>
    <t>Fecha Inicio</t>
  </si>
  <si>
    <t>AÑO (Meses)</t>
  </si>
  <si>
    <t>Salida o resultado</t>
  </si>
  <si>
    <t xml:space="preserve">Comprender el entorno organizacional </t>
  </si>
  <si>
    <t>Analizar planes estratégicos externos y compromisos institucionales</t>
  </si>
  <si>
    <t>Identificar y caracterizar trámites y los servicios institucionales.</t>
  </si>
  <si>
    <t>Analizar y diagnosticar la gestión de TI.</t>
  </si>
  <si>
    <t>Actualizar o construir catalogos de sistemas de Información</t>
  </si>
  <si>
    <t>Actualizar o construir catalogos de componentes de información</t>
  </si>
  <si>
    <t>Actualizar o construir catalogos de infraetsructura tecnológica</t>
  </si>
  <si>
    <t>Actualizar o construir catalogos de servicios de TI</t>
  </si>
  <si>
    <t>4.1</t>
  </si>
  <si>
    <t>4.2</t>
  </si>
  <si>
    <t>4.3</t>
  </si>
  <si>
    <t>4.4</t>
  </si>
  <si>
    <t>Analizar y entender los procesos de la cadena de valor y valor si tienen algun grado de digitalizacion o soporte de un SI</t>
  </si>
  <si>
    <t>1.1</t>
  </si>
  <si>
    <t xml:space="preserve">1.2 </t>
  </si>
  <si>
    <t>Identificar y levantar el listado de normatividad que afecta e incide en la operaciòn de la entidad</t>
  </si>
  <si>
    <t>Identificar las obligaciones y responsabilidades presentes en planes extrategcos externos, conpes u otro compromiso.</t>
  </si>
  <si>
    <t>2.1</t>
  </si>
  <si>
    <t>4.5</t>
  </si>
  <si>
    <t>Analisis del dominio de Estrategia de TI</t>
  </si>
  <si>
    <t>Analisis del domino de Gobierno de TI</t>
  </si>
  <si>
    <t>Analisis del Dominio de sistemas de información</t>
  </si>
  <si>
    <t>Anàlisis del dominio de seguridad d ela información</t>
  </si>
  <si>
    <t>Anàlisis del dominio de datos</t>
  </si>
  <si>
    <t>Analisis del domino de infraetsrctura de TI</t>
  </si>
  <si>
    <t>Análisis del dominio de uso y aproiaciòn de TI</t>
  </si>
  <si>
    <t>4.6</t>
  </si>
  <si>
    <t>4.7</t>
  </si>
  <si>
    <t>4.8</t>
  </si>
  <si>
    <t>4.9</t>
  </si>
  <si>
    <t>4.10</t>
  </si>
  <si>
    <t>4.11</t>
  </si>
  <si>
    <t>Evaluar tendencias tecnológicas y tecnologías emergentes</t>
  </si>
  <si>
    <t>Construir la estrategia de TI</t>
  </si>
  <si>
    <t>Identificar mejoras en los servicios y la operación</t>
  </si>
  <si>
    <t>Identificar las oportunidades de mejora en cada dominio de gestión de TI</t>
  </si>
  <si>
    <t>Identificar brechas</t>
  </si>
  <si>
    <t xml:space="preserve">Consolidar y priorizar iniciativas y construir hoja de ruta de proyectos </t>
  </si>
  <si>
    <t>Identificar otros planes de la Política de Gobierno Digital</t>
  </si>
  <si>
    <t>Determinar indicadores para medir la Estrategia de TI</t>
  </si>
  <si>
    <t>Consolidar el Documento de la estrategia de TI ( PETI)</t>
  </si>
  <si>
    <t>Presentar PETI para aprobación y publicar</t>
  </si>
  <si>
    <t>Socializar el PETI</t>
  </si>
  <si>
    <t>Fecha de actualizacion del plan sectorial o de Desarrollo Territorial según aplique</t>
  </si>
  <si>
    <t>Objetivos Estratègicos y metas de la entidad</t>
  </si>
  <si>
    <t>Nacional o Territorial</t>
  </si>
  <si>
    <t>Procesos de cadena de valor</t>
  </si>
  <si>
    <t>Nombre del proceso</t>
  </si>
  <si>
    <t>SI 1</t>
  </si>
  <si>
    <t>SI 2</t>
  </si>
  <si>
    <t>SI 3</t>
  </si>
  <si>
    <t>SI 4</t>
  </si>
  <si>
    <t>SI 5</t>
  </si>
  <si>
    <t>SI 6</t>
  </si>
  <si>
    <t>SI 7</t>
  </si>
  <si>
    <t>T</t>
  </si>
  <si>
    <t>P</t>
  </si>
  <si>
    <t>El sistema soporta pacialmente el proceso</t>
  </si>
  <si>
    <t>El sistema soporta totalmente el proceso</t>
  </si>
  <si>
    <t>Proceso 1</t>
  </si>
  <si>
    <t>Proceso2</t>
  </si>
  <si>
    <t>Tipo</t>
  </si>
  <si>
    <t>Norma</t>
  </si>
  <si>
    <t>Procesos asociados con el servicio, tràmite u OPA</t>
  </si>
  <si>
    <t>Normatividad asociada a la entidad</t>
  </si>
  <si>
    <t>Planes estratégicos externos</t>
  </si>
  <si>
    <t>Planes estratégicos externos o CONPES</t>
  </si>
  <si>
    <t>Responsabilidad u obligación</t>
  </si>
  <si>
    <t>Fecha de Plazo de ejecucion</t>
  </si>
  <si>
    <t>Trámites</t>
  </si>
  <si>
    <t xml:space="preserve">Procesos </t>
  </si>
  <si>
    <t>P01</t>
  </si>
  <si>
    <t>P02</t>
  </si>
  <si>
    <t>P03</t>
  </si>
  <si>
    <t># de personas que utilizaron el servicio o tràmite en el  último año</t>
  </si>
  <si>
    <t>Nivel de Automatización</t>
  </si>
  <si>
    <t>Registrado en el SUIT (S/N)</t>
  </si>
  <si>
    <t>Norma que soporte el tràmite</t>
  </si>
  <si>
    <t>Caracterización de Servicios, tràmites u OPAS</t>
  </si>
  <si>
    <t>Nombre del Servicio,  trámite u OPA</t>
  </si>
  <si>
    <t>Descripción del servicio,  trámite u OPA</t>
  </si>
  <si>
    <t>Servicios , trámites u OPA`s</t>
  </si>
  <si>
    <t>Tipo : Trámite , servicio u OPA</t>
  </si>
  <si>
    <t>Inteligencia Artificial Adaptativa</t>
  </si>
  <si>
    <t>Metaverso</t>
  </si>
  <si>
    <t>ID Objetivos institucionales asociados</t>
  </si>
  <si>
    <t>Objetivos estratégicos de TI</t>
  </si>
  <si>
    <t>Medición actual o linea base</t>
  </si>
  <si>
    <t>Año 1</t>
  </si>
  <si>
    <t>Año 2</t>
  </si>
  <si>
    <t>Año 3</t>
  </si>
  <si>
    <t>Nivel de autimatizacion o digitalizacion</t>
  </si>
  <si>
    <t>Parcialmente en linea</t>
  </si>
  <si>
    <t>Automatizado parcialmente</t>
  </si>
  <si>
    <t>Automatizado totalmente</t>
  </si>
  <si>
    <t>Totalmente Manual</t>
  </si>
  <si>
    <t>Totalmente en linea</t>
  </si>
  <si>
    <t>Parcialmente automatizado y en linea</t>
  </si>
  <si>
    <t>Catálogo de iniciativas y proyectos de transformación digital</t>
  </si>
  <si>
    <t>Nombre Iniciativa o proyecto</t>
  </si>
  <si>
    <t>Descripción de la iniciativa o proyecto</t>
  </si>
  <si>
    <t>Subproyectos o iniciativas</t>
  </si>
  <si>
    <t>dominio de gestion de TI asociado</t>
  </si>
  <si>
    <t>Tiempo total estimado (meses)</t>
  </si>
  <si>
    <t xml:space="preserve">Costo o presupuesto  estimado </t>
  </si>
  <si>
    <t>Objetivo estratégico institucional asociado</t>
  </si>
  <si>
    <t xml:space="preserve">
Área Líder</t>
  </si>
  <si>
    <t>Objetivo estratégico de TI al que contribuye</t>
  </si>
  <si>
    <t>Meta a la que contribuye</t>
  </si>
  <si>
    <t>Brecha asociada</t>
  </si>
  <si>
    <t>vigencia</t>
  </si>
  <si>
    <t>Categoria del indicador</t>
  </si>
  <si>
    <t>Tipo del indicador</t>
  </si>
  <si>
    <t>Nombre del indicador</t>
  </si>
  <si>
    <t>Decripción</t>
  </si>
  <si>
    <t>Fórmulas</t>
  </si>
  <si>
    <t>IND.ES.01</t>
  </si>
  <si>
    <t>Eficacia</t>
  </si>
  <si>
    <t>Estratégico</t>
  </si>
  <si>
    <t>Nivel de ejecución  del PETI x vigencia</t>
  </si>
  <si>
    <t>Calcular porcentaje de proyectos ejecutados x vigencia/ proyectos planeados x vigencia</t>
  </si>
  <si>
    <t>EP: Ejecución PETI
IE: Iniciativas Ejecutadas
IP: Iniciativas Planeadas
EP: (IE/ IP) * 100%</t>
  </si>
  <si>
    <t>IND.ES.02</t>
  </si>
  <si>
    <t>Nivel de ejecución acumulada del PETI</t>
  </si>
  <si>
    <t xml:space="preserve">Calcular el avance en la ejecución de iniciativas planeadas en el PETI  y las ejecutadas por periodo acumuladas.
</t>
  </si>
  <si>
    <t xml:space="preserve">AP:Avance Acumulado PETI
IP: Iniciativas Planeadas
SIE: Sumatoria Iniciativas Ejecutadas durante vigencia PETI
AP: (SIE/IP) * 100% 
</t>
  </si>
  <si>
    <t>INDICADORES DE GESTION DE TI</t>
  </si>
  <si>
    <t>Codigo del indicador</t>
  </si>
  <si>
    <t>Dominio de gestion de TI asociado</t>
  </si>
  <si>
    <t>HOJA DE VIDA DEL INDICADOR</t>
  </si>
  <si>
    <t>Identificador del Indicador</t>
  </si>
  <si>
    <t>Objetivo del indicador</t>
  </si>
  <si>
    <t>Tipo de indicador</t>
  </si>
  <si>
    <t>Fórmula</t>
  </si>
  <si>
    <t>Origen de los datos</t>
  </si>
  <si>
    <t xml:space="preserve">Responsable </t>
  </si>
  <si>
    <t xml:space="preserve">Meta </t>
  </si>
  <si>
    <t>Observaciones</t>
  </si>
  <si>
    <t>Nivel de ejecución del PETI  x vigencia</t>
  </si>
  <si>
    <t>% De proyectos ejecutados x vigencia/ proyectos planeados x vigencia</t>
  </si>
  <si>
    <t>Proyectos</t>
  </si>
  <si>
    <t>Semestral</t>
  </si>
  <si>
    <t>Tablero de control de seguimiento al plan de proyectos del PETI , definido por el lider de estrategia de TI</t>
  </si>
  <si>
    <t>OTIC Lider de Estrategia TI</t>
  </si>
  <si>
    <t>&gt;=95%</t>
  </si>
  <si>
    <t>Entre 94% y 71%</t>
  </si>
  <si>
    <t>&lt;=70%</t>
  </si>
  <si>
    <t xml:space="preserve">Medir el avance en la ejecución de iniciativas planeadas en el PETI  y las ejecutadas 
</t>
  </si>
  <si>
    <t>Anual</t>
  </si>
  <si>
    <t>&lt;70%</t>
  </si>
  <si>
    <t>Actividad</t>
  </si>
  <si>
    <t>Actividad 6: Analizar y diagnosticar la gestión de TI.</t>
  </si>
  <si>
    <t>Actividad 7: Evaluar tendencias tecnológicas y tecnologías emergentes</t>
  </si>
  <si>
    <t>Actividad 8: Construir la estrategia de TI</t>
  </si>
  <si>
    <t>Actividad 9: Identificar mejoras en los servicios y la operación</t>
  </si>
  <si>
    <t>Actividad 10: Identificar las oportunidades de mejora en cada dominio de gestión de TI</t>
  </si>
  <si>
    <t>Actividad 11 Identificar brechas</t>
  </si>
  <si>
    <t>Actividad 12: Identificar otros planes de la Política de Gobierno Digital</t>
  </si>
  <si>
    <t>Actividad 14: Determinar indicadores para medir la Estrategia de TI</t>
  </si>
  <si>
    <t>Actividad 15: Consolidar el Documento de la estrategia de TI ( PETI)</t>
  </si>
  <si>
    <t>Actividad 16: Presentar PETI para aprobación y publicar</t>
  </si>
  <si>
    <t>Actividad 17: Socializar el PETI</t>
  </si>
  <si>
    <t>Catálogo de iniciativas de otros Planes de la Política de Gobierno Digital</t>
  </si>
  <si>
    <t>Descripción y justificaciòn de la acción</t>
  </si>
  <si>
    <t>ID Servicio, tramite o proceso afectado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</si>
</sst>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_-;\-&quot;$&quot;\ * #,##0_-;_-&quot;$&quot;\ * &quot;-&quot;_-;_-@_-"/>
    <numFmt numFmtId="165" formatCode="&quot;$&quot;\ #,##0\ &quot;M&quot;;\-&quot;$&quot;\ #,##0\ &quot;M&quot;"/>
  </numFmts>
  <fonts count="45" x14ac:knownFonts="1">
    <font>
      <sz val="11"/>
      <color theme="1"/>
      <name val="Calibri"/>
      <family val="2"/>
      <scheme val="minor"/>
    </font>
    <font>
      <sz val="11"/>
      <color theme="1"/>
      <name val="Calibri"/>
      <family val="2"/>
      <scheme val="minor"/>
    </font>
    <font>
      <b/>
      <sz val="11"/>
      <color rgb="FFFFFFFF"/>
      <name val="Titillium Web"/>
    </font>
    <font>
      <sz val="11"/>
      <color theme="1"/>
      <name val="Titillium Web"/>
    </font>
    <font>
      <b/>
      <sz val="12"/>
      <color rgb="FFFFFFFF"/>
      <name val="Titillium Web"/>
    </font>
    <font>
      <b/>
      <sz val="12"/>
      <name val="Titillium Web"/>
    </font>
    <font>
      <b/>
      <sz val="12"/>
      <color theme="0"/>
      <name val="Titillium Web"/>
    </font>
    <font>
      <b/>
      <sz val="12"/>
      <color theme="1"/>
      <name val="Titillium Web"/>
    </font>
    <font>
      <sz val="12"/>
      <color theme="1"/>
      <name val="Titillium Web"/>
    </font>
    <font>
      <sz val="12"/>
      <name val="Titillium Web"/>
    </font>
    <font>
      <sz val="11"/>
      <color theme="0" tint="-0.34998626667073579"/>
      <name val="Titillium Web"/>
    </font>
    <font>
      <b/>
      <sz val="12"/>
      <color theme="0" tint="-0.34998626667073579"/>
      <name val="Titillium Web"/>
    </font>
    <font>
      <sz val="12"/>
      <color theme="2" tint="-0.499984740745262"/>
      <name val="Titillium Web"/>
    </font>
    <font>
      <sz val="10"/>
      <color theme="2" tint="-0.499984740745262"/>
      <name val="Titillium Web"/>
    </font>
    <font>
      <sz val="8"/>
      <name val="Calibri"/>
      <family val="2"/>
      <scheme val="minor"/>
    </font>
    <font>
      <b/>
      <sz val="12"/>
      <color theme="2" tint="-0.249977111117893"/>
      <name val="Titillium Web"/>
    </font>
    <font>
      <sz val="12"/>
      <color theme="2" tint="-0.249977111117893"/>
      <name val="Titillium Web"/>
    </font>
    <font>
      <b/>
      <sz val="11"/>
      <color theme="2" tint="-0.249977111117893"/>
      <name val="Titillium Web"/>
    </font>
    <font>
      <b/>
      <sz val="10"/>
      <color rgb="FFFFFFFF"/>
      <name val="Titillium Web"/>
    </font>
    <font>
      <sz val="10"/>
      <color rgb="FFFFFFFF"/>
      <name val="Titillium Web"/>
    </font>
    <font>
      <sz val="11"/>
      <color rgb="FF9C0006"/>
      <name val="Calibri"/>
      <family val="2"/>
    </font>
    <font>
      <sz val="11"/>
      <color rgb="FF9C5700"/>
      <name val="Calibri"/>
      <family val="2"/>
    </font>
    <font>
      <sz val="11"/>
      <color rgb="FF006100"/>
      <name val="Calibri"/>
      <family val="2"/>
    </font>
    <font>
      <sz val="11"/>
      <color rgb="FF767171"/>
      <name val="Work Sans"/>
    </font>
    <font>
      <b/>
      <sz val="12"/>
      <color theme="0" tint="-0.249977111117893"/>
      <name val="Titillium Web"/>
    </font>
    <font>
      <b/>
      <sz val="11"/>
      <color theme="0"/>
      <name val="Calibri"/>
      <family val="2"/>
      <scheme val="minor"/>
    </font>
    <font>
      <b/>
      <sz val="11"/>
      <color theme="1"/>
      <name val="Calibri"/>
      <family val="2"/>
      <scheme val="minor"/>
    </font>
    <font>
      <b/>
      <sz val="10"/>
      <color theme="0"/>
      <name val="Titillium Web"/>
    </font>
    <font>
      <sz val="10"/>
      <color theme="1"/>
      <name val="Calibri"/>
      <family val="2"/>
      <scheme val="minor"/>
    </font>
    <font>
      <sz val="9"/>
      <color rgb="FF000000"/>
      <name val="Arial"/>
      <family val="2"/>
    </font>
    <font>
      <sz val="10"/>
      <color rgb="FF000000"/>
      <name val="Arial"/>
      <family val="2"/>
    </font>
    <font>
      <b/>
      <sz val="9"/>
      <color indexed="81"/>
      <name val="Tahoma"/>
      <family val="2"/>
    </font>
    <font>
      <sz val="9"/>
      <color indexed="81"/>
      <name val="Tahoma"/>
      <family val="2"/>
    </font>
    <font>
      <b/>
      <sz val="11"/>
      <color rgb="FFFFFFFF"/>
      <name val="Calibri"/>
      <family val="2"/>
      <scheme val="minor"/>
    </font>
    <font>
      <sz val="9"/>
      <color rgb="FF000000"/>
      <name val="Calibri"/>
      <family val="2"/>
      <scheme val="minor"/>
    </font>
    <font>
      <sz val="12"/>
      <color rgb="FF000000"/>
      <name val="Arial"/>
      <family val="2"/>
    </font>
    <font>
      <sz val="10"/>
      <name val="Arial"/>
      <family val="2"/>
    </font>
    <font>
      <sz val="12"/>
      <name val="Arial"/>
      <family val="2"/>
    </font>
    <font>
      <sz val="11"/>
      <color theme="2" tint="-0.249977111117893"/>
      <name val="Titillium Web"/>
    </font>
    <font>
      <b/>
      <sz val="11"/>
      <color rgb="FFE8A043"/>
      <name val="Work Sans"/>
    </font>
    <font>
      <b/>
      <sz val="11"/>
      <color rgb="FFFFFFFF"/>
      <name val="Work Sans"/>
    </font>
    <font>
      <b/>
      <sz val="12"/>
      <color rgb="FFE8A043"/>
      <name val="Titillium Web"/>
    </font>
    <font>
      <b/>
      <sz val="11"/>
      <color rgb="FFE8A043"/>
      <name val="Calibri"/>
      <family val="2"/>
      <scheme val="minor"/>
    </font>
    <font>
      <b/>
      <sz val="14"/>
      <color rgb="FFE8A043"/>
      <name val="Calibri"/>
      <family val="2"/>
      <scheme val="minor"/>
    </font>
    <font>
      <b/>
      <sz val="12"/>
      <color rgb="FFE8A043"/>
      <name val="Calibri"/>
      <family val="2"/>
      <scheme val="minor"/>
    </font>
  </fonts>
  <fills count="12">
    <fill>
      <patternFill patternType="none"/>
    </fill>
    <fill>
      <patternFill patternType="gray125"/>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E8A043"/>
        <bgColor indexed="64"/>
      </patternFill>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theme="2" tint="-0.499984740745262"/>
        <bgColor indexed="64"/>
      </patternFill>
    </fill>
    <fill>
      <patternFill patternType="solid">
        <fgColor theme="5"/>
        <bgColor indexed="64"/>
      </patternFill>
    </fill>
    <fill>
      <patternFill patternType="solid">
        <fgColor theme="0"/>
        <bgColor indexed="64"/>
      </patternFill>
    </fill>
  </fills>
  <borders count="40">
    <border>
      <left/>
      <right/>
      <top/>
      <bottom/>
      <diagonal/>
    </border>
    <border>
      <left style="thin">
        <color theme="3"/>
      </left>
      <right/>
      <top/>
      <bottom/>
      <diagonal/>
    </border>
    <border>
      <left style="thin">
        <color indexed="64"/>
      </left>
      <right style="thin">
        <color indexed="64"/>
      </right>
      <top style="thin">
        <color indexed="64"/>
      </top>
      <bottom style="thin">
        <color indexed="64"/>
      </bottom>
      <diagonal/>
    </border>
    <border>
      <left style="medium">
        <color rgb="FFFFDD99"/>
      </left>
      <right style="medium">
        <color rgb="FFFFDD99"/>
      </right>
      <top style="medium">
        <color rgb="FFFFDD99"/>
      </top>
      <bottom style="thick">
        <color rgb="FFFFCC66"/>
      </bottom>
      <diagonal/>
    </border>
    <border>
      <left/>
      <right style="medium">
        <color rgb="FFFFDD99"/>
      </right>
      <top style="medium">
        <color rgb="FFFFDD99"/>
      </top>
      <bottom style="thick">
        <color rgb="FFFFCC66"/>
      </bottom>
      <diagonal/>
    </border>
    <border>
      <left style="medium">
        <color rgb="FFFFDD99"/>
      </left>
      <right style="medium">
        <color rgb="FFFFDD99"/>
      </right>
      <top/>
      <bottom style="medium">
        <color rgb="FFFFDD99"/>
      </bottom>
      <diagonal/>
    </border>
    <border>
      <left style="medium">
        <color rgb="FFFFDD99"/>
      </left>
      <right style="medium">
        <color rgb="FFFFDD99"/>
      </right>
      <top/>
      <bottom/>
      <diagonal/>
    </border>
    <border>
      <left/>
      <right style="medium">
        <color rgb="FFFFDD99"/>
      </right>
      <top/>
      <bottom style="medium">
        <color rgb="FFFFDD99"/>
      </bottom>
      <diagonal/>
    </border>
    <border>
      <left style="medium">
        <color rgb="FFFFDD99"/>
      </left>
      <right style="medium">
        <color rgb="FFFFDD99"/>
      </right>
      <top style="thick">
        <color rgb="FFFFCC66"/>
      </top>
      <bottom/>
      <diagonal/>
    </border>
    <border>
      <left style="medium">
        <color rgb="FFFFDD99"/>
      </left>
      <right style="medium">
        <color rgb="FFFFDD99"/>
      </right>
      <top style="medium">
        <color rgb="FFFFDD99"/>
      </top>
      <bottom/>
      <diagonal/>
    </border>
    <border>
      <left style="thin">
        <color rgb="FFE8A043"/>
      </left>
      <right style="thin">
        <color rgb="FFE8A043"/>
      </right>
      <top style="thin">
        <color rgb="FFE8A043"/>
      </top>
      <bottom style="thin">
        <color rgb="FFE8A043"/>
      </bottom>
      <diagonal/>
    </border>
    <border>
      <left style="thin">
        <color indexed="64"/>
      </left>
      <right/>
      <top/>
      <bottom/>
      <diagonal/>
    </border>
    <border>
      <left style="thin">
        <color rgb="FFE8A043"/>
      </left>
      <right style="thin">
        <color rgb="FFE8A043"/>
      </right>
      <top/>
      <bottom style="thin">
        <color rgb="FFE8A043"/>
      </bottom>
      <diagonal/>
    </border>
    <border>
      <left style="medium">
        <color rgb="FFE8A043"/>
      </left>
      <right/>
      <top style="medium">
        <color rgb="FFE8A043"/>
      </top>
      <bottom style="medium">
        <color rgb="FFE8A043"/>
      </bottom>
      <diagonal/>
    </border>
    <border>
      <left/>
      <right/>
      <top style="medium">
        <color rgb="FFE8A043"/>
      </top>
      <bottom style="medium">
        <color rgb="FFE8A043"/>
      </bottom>
      <diagonal/>
    </border>
    <border>
      <left/>
      <right style="medium">
        <color rgb="FFE8A043"/>
      </right>
      <top style="medium">
        <color rgb="FFE8A043"/>
      </top>
      <bottom style="medium">
        <color rgb="FFE8A043"/>
      </bottom>
      <diagonal/>
    </border>
    <border>
      <left style="medium">
        <color rgb="FFE8A043"/>
      </left>
      <right style="thin">
        <color rgb="FFE8A043"/>
      </right>
      <top style="medium">
        <color rgb="FFE8A043"/>
      </top>
      <bottom style="thin">
        <color rgb="FFE8A043"/>
      </bottom>
      <diagonal/>
    </border>
    <border>
      <left style="thin">
        <color rgb="FFE8A043"/>
      </left>
      <right style="thin">
        <color rgb="FFE8A043"/>
      </right>
      <top style="medium">
        <color rgb="FFE8A043"/>
      </top>
      <bottom style="thin">
        <color rgb="FFE8A043"/>
      </bottom>
      <diagonal/>
    </border>
    <border>
      <left style="thin">
        <color rgb="FFE8A043"/>
      </left>
      <right style="medium">
        <color rgb="FFE8A043"/>
      </right>
      <top style="medium">
        <color rgb="FFE8A043"/>
      </top>
      <bottom style="thin">
        <color rgb="FFE8A043"/>
      </bottom>
      <diagonal/>
    </border>
    <border>
      <left style="medium">
        <color rgb="FFE8A043"/>
      </left>
      <right style="thin">
        <color rgb="FFE8A043"/>
      </right>
      <top style="thin">
        <color rgb="FFE8A043"/>
      </top>
      <bottom style="thin">
        <color rgb="FFE8A043"/>
      </bottom>
      <diagonal/>
    </border>
    <border>
      <left style="thin">
        <color rgb="FFE8A043"/>
      </left>
      <right style="medium">
        <color rgb="FFE8A043"/>
      </right>
      <top style="thin">
        <color rgb="FFE8A043"/>
      </top>
      <bottom style="thin">
        <color rgb="FFE8A043"/>
      </bottom>
      <diagonal/>
    </border>
    <border>
      <left style="medium">
        <color rgb="FFE8A043"/>
      </left>
      <right style="thin">
        <color rgb="FFE8A043"/>
      </right>
      <top style="thin">
        <color rgb="FFE8A043"/>
      </top>
      <bottom style="medium">
        <color rgb="FFE8A043"/>
      </bottom>
      <diagonal/>
    </border>
    <border>
      <left style="thin">
        <color rgb="FFE8A043"/>
      </left>
      <right style="thin">
        <color rgb="FFE8A043"/>
      </right>
      <top style="thin">
        <color rgb="FFE8A043"/>
      </top>
      <bottom style="medium">
        <color rgb="FFE8A043"/>
      </bottom>
      <diagonal/>
    </border>
    <border>
      <left style="thin">
        <color rgb="FFE8A043"/>
      </left>
      <right style="medium">
        <color rgb="FFE8A043"/>
      </right>
      <top style="thin">
        <color rgb="FFE8A043"/>
      </top>
      <bottom style="medium">
        <color rgb="FFE8A043"/>
      </bottom>
      <diagonal/>
    </border>
    <border>
      <left style="medium">
        <color rgb="FFE8A043"/>
      </left>
      <right/>
      <top style="medium">
        <color rgb="FFE8A043"/>
      </top>
      <bottom/>
      <diagonal/>
    </border>
    <border>
      <left/>
      <right/>
      <top style="medium">
        <color rgb="FFE8A043"/>
      </top>
      <bottom/>
      <diagonal/>
    </border>
    <border>
      <left/>
      <right style="medium">
        <color rgb="FFE8A043"/>
      </right>
      <top style="medium">
        <color rgb="FFE8A043"/>
      </top>
      <bottom/>
      <diagonal/>
    </border>
    <border>
      <left/>
      <right style="thin">
        <color rgb="FFE8A043"/>
      </right>
      <top style="thin">
        <color rgb="FFE8A043"/>
      </top>
      <bottom style="thin">
        <color rgb="FFE8A043"/>
      </bottom>
      <diagonal/>
    </border>
    <border>
      <left/>
      <right style="thin">
        <color rgb="FFE8A043"/>
      </right>
      <top style="thin">
        <color rgb="FFE8A043"/>
      </top>
      <bottom style="medium">
        <color rgb="FFE8A043"/>
      </bottom>
      <diagonal/>
    </border>
    <border>
      <left style="thin">
        <color rgb="FFE8A043"/>
      </left>
      <right/>
      <top style="thin">
        <color rgb="FFE8A043"/>
      </top>
      <bottom style="thin">
        <color rgb="FFE8A043"/>
      </bottom>
      <diagonal/>
    </border>
    <border>
      <left style="thin">
        <color rgb="FFE8A043"/>
      </left>
      <right/>
      <top style="thin">
        <color rgb="FFE8A043"/>
      </top>
      <bottom style="medium">
        <color rgb="FFE8A043"/>
      </bottom>
      <diagonal/>
    </border>
    <border>
      <left/>
      <right style="thin">
        <color rgb="FFE8A043"/>
      </right>
      <top/>
      <bottom style="thin">
        <color rgb="FFE8A043"/>
      </bottom>
      <diagonal/>
    </border>
    <border>
      <left style="thin">
        <color rgb="FFE8A043"/>
      </left>
      <right style="thin">
        <color rgb="FFE8A043"/>
      </right>
      <top style="thin">
        <color rgb="FFE8A043"/>
      </top>
      <bottom/>
      <diagonal/>
    </border>
    <border>
      <left/>
      <right style="thin">
        <color rgb="FFE8A043"/>
      </right>
      <top style="medium">
        <color rgb="FFE8A043"/>
      </top>
      <bottom style="thin">
        <color rgb="FFE8A043"/>
      </bottom>
      <diagonal/>
    </border>
    <border>
      <left style="thin">
        <color rgb="FFE8A043"/>
      </left>
      <right/>
      <top style="medium">
        <color rgb="FFE8A043"/>
      </top>
      <bottom style="thin">
        <color rgb="FFE8A043"/>
      </bottom>
      <diagonal/>
    </border>
    <border>
      <left style="medium">
        <color rgb="FFE8A043"/>
      </left>
      <right style="thin">
        <color rgb="FFE8A043"/>
      </right>
      <top/>
      <bottom style="thin">
        <color rgb="FFE8A043"/>
      </bottom>
      <diagonal/>
    </border>
    <border>
      <left style="thin">
        <color rgb="FFE8A043"/>
      </left>
      <right style="medium">
        <color rgb="FFE8A043"/>
      </right>
      <top/>
      <bottom style="thin">
        <color rgb="FFE8A043"/>
      </bottom>
      <diagonal/>
    </border>
    <border>
      <left style="medium">
        <color rgb="FFE8A043"/>
      </left>
      <right style="thin">
        <color rgb="FFE8A043"/>
      </right>
      <top style="medium">
        <color rgb="FFE8A043"/>
      </top>
      <bottom style="medium">
        <color rgb="FFE8A043"/>
      </bottom>
      <diagonal/>
    </border>
    <border>
      <left style="thin">
        <color rgb="FFE8A043"/>
      </left>
      <right style="medium">
        <color rgb="FFE8A043"/>
      </right>
      <top style="medium">
        <color rgb="FFE8A043"/>
      </top>
      <bottom style="medium">
        <color rgb="FFE8A043"/>
      </bottom>
      <diagonal/>
    </border>
    <border>
      <left style="thin">
        <color rgb="FFE8A043"/>
      </left>
      <right style="thin">
        <color rgb="FFE8A043"/>
      </right>
      <top style="medium">
        <color rgb="FFE8A043"/>
      </top>
      <bottom style="medium">
        <color rgb="FFE8A043"/>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0" fontId="36" fillId="0" borderId="0"/>
  </cellStyleXfs>
  <cellXfs count="234">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vertical="center"/>
    </xf>
    <xf numFmtId="1" fontId="0" fillId="0" borderId="0" xfId="0" applyNumberFormat="1" applyAlignment="1">
      <alignment horizontal="center" vertical="top"/>
    </xf>
    <xf numFmtId="0" fontId="3" fillId="0" borderId="0" xfId="0" applyFont="1" applyAlignment="1">
      <alignment horizontal="center"/>
    </xf>
    <xf numFmtId="0" fontId="12" fillId="0" borderId="2" xfId="0" applyFont="1" applyBorder="1" applyAlignment="1">
      <alignment horizontal="center" vertical="center" wrapText="1"/>
    </xf>
    <xf numFmtId="0" fontId="3" fillId="0" borderId="2" xfId="0" applyFont="1" applyBorder="1" applyAlignment="1">
      <alignment horizontal="center"/>
    </xf>
    <xf numFmtId="0" fontId="11" fillId="0" borderId="2" xfId="0" applyFont="1" applyBorder="1" applyAlignment="1">
      <alignment horizontal="center" vertical="center" wrapText="1"/>
    </xf>
    <xf numFmtId="9" fontId="12" fillId="0" borderId="2" xfId="0" applyNumberFormat="1" applyFont="1" applyBorder="1" applyAlignment="1">
      <alignment horizontal="center" vertical="center" wrapText="1"/>
    </xf>
    <xf numFmtId="0" fontId="2" fillId="0" borderId="0" xfId="0" applyFont="1" applyAlignment="1">
      <alignment vertical="center" wrapText="1"/>
    </xf>
    <xf numFmtId="0" fontId="23" fillId="0" borderId="7" xfId="0" applyFont="1" applyBorder="1" applyAlignment="1">
      <alignment vertical="center" wrapText="1"/>
    </xf>
    <xf numFmtId="0" fontId="28" fillId="0" borderId="0" xfId="0" applyFont="1"/>
    <xf numFmtId="0" fontId="38" fillId="0" borderId="0" xfId="0" applyFont="1" applyAlignment="1">
      <alignment vertical="center" wrapText="1"/>
    </xf>
    <xf numFmtId="0" fontId="40" fillId="5" borderId="3" xfId="0" applyFont="1" applyFill="1" applyBorder="1" applyAlignment="1">
      <alignment horizontal="center" vertical="center" wrapText="1"/>
    </xf>
    <xf numFmtId="0" fontId="40" fillId="5" borderId="4" xfId="0" applyFont="1" applyFill="1" applyBorder="1" applyAlignment="1">
      <alignment horizontal="center" vertical="center" wrapText="1"/>
    </xf>
    <xf numFmtId="0" fontId="26" fillId="0" borderId="0" xfId="0" applyFont="1"/>
    <xf numFmtId="0" fontId="4" fillId="5" borderId="10" xfId="0" applyFont="1" applyFill="1" applyBorder="1" applyAlignment="1">
      <alignment horizontal="center" vertical="center" wrapText="1"/>
    </xf>
    <xf numFmtId="0" fontId="4" fillId="5" borderId="10" xfId="0" applyFont="1" applyFill="1" applyBorder="1" applyAlignment="1">
      <alignment horizontal="left" vertical="center" wrapText="1"/>
    </xf>
    <xf numFmtId="0" fontId="4" fillId="5" borderId="16" xfId="0" applyFont="1" applyFill="1" applyBorder="1" applyAlignment="1">
      <alignment horizontal="center" vertical="center" wrapText="1"/>
    </xf>
    <xf numFmtId="0" fontId="4" fillId="5" borderId="17" xfId="0" applyFont="1" applyFill="1" applyBorder="1" applyAlignment="1">
      <alignment horizontal="center" vertical="center" wrapText="1"/>
    </xf>
    <xf numFmtId="0" fontId="4" fillId="5" borderId="18" xfId="0" applyFont="1" applyFill="1" applyBorder="1" applyAlignment="1">
      <alignment horizontal="center" vertical="center" wrapText="1"/>
    </xf>
    <xf numFmtId="0" fontId="4" fillId="5" borderId="19" xfId="0" applyFont="1" applyFill="1" applyBorder="1" applyAlignment="1">
      <alignment horizontal="left" vertical="center" wrapText="1"/>
    </xf>
    <xf numFmtId="0" fontId="4" fillId="5" borderId="21" xfId="0" applyFont="1" applyFill="1" applyBorder="1" applyAlignment="1">
      <alignment horizontal="left" vertical="center" wrapText="1"/>
    </xf>
    <xf numFmtId="0" fontId="10" fillId="0" borderId="10" xfId="0" applyFont="1" applyBorder="1" applyAlignment="1">
      <alignment horizontal="center" vertical="center" wrapText="1"/>
    </xf>
    <xf numFmtId="0" fontId="10" fillId="0" borderId="10" xfId="0" applyFont="1" applyBorder="1" applyAlignment="1">
      <alignment vertical="center" wrapText="1"/>
    </xf>
    <xf numFmtId="0" fontId="10" fillId="0" borderId="20" xfId="0" applyFont="1" applyBorder="1" applyAlignment="1">
      <alignment vertical="center" wrapText="1"/>
    </xf>
    <xf numFmtId="0" fontId="10" fillId="0" borderId="22" xfId="0" applyFont="1" applyBorder="1" applyAlignment="1">
      <alignment horizontal="center" vertical="center" wrapText="1"/>
    </xf>
    <xf numFmtId="0" fontId="10" fillId="0" borderId="22" xfId="0" applyFont="1" applyBorder="1" applyAlignment="1">
      <alignment vertical="center" wrapText="1"/>
    </xf>
    <xf numFmtId="0" fontId="10" fillId="0" borderId="23" xfId="0" applyFont="1" applyBorder="1" applyAlignment="1">
      <alignment vertical="center" wrapText="1"/>
    </xf>
    <xf numFmtId="0" fontId="6" fillId="5" borderId="10" xfId="0" applyFont="1" applyFill="1" applyBorder="1" applyAlignment="1">
      <alignment horizontal="center" wrapText="1"/>
    </xf>
    <xf numFmtId="0" fontId="6" fillId="5" borderId="10" xfId="0" applyFont="1" applyFill="1" applyBorder="1" applyAlignment="1">
      <alignment wrapText="1"/>
    </xf>
    <xf numFmtId="0" fontId="8" fillId="0" borderId="10" xfId="0" applyFont="1" applyBorder="1" applyAlignment="1">
      <alignment horizontal="center" vertical="center" wrapText="1"/>
    </xf>
    <xf numFmtId="0" fontId="8" fillId="0" borderId="10" xfId="0" applyFont="1" applyBorder="1" applyAlignment="1">
      <alignment horizontal="left" vertical="center" wrapText="1"/>
    </xf>
    <xf numFmtId="0" fontId="8" fillId="0" borderId="10" xfId="0" applyFont="1" applyBorder="1" applyAlignment="1">
      <alignment vertical="center" wrapText="1"/>
    </xf>
    <xf numFmtId="0" fontId="9" fillId="0" borderId="10" xfId="0" applyFont="1" applyBorder="1" applyAlignment="1">
      <alignment horizontal="center" vertical="center" wrapText="1"/>
    </xf>
    <xf numFmtId="0" fontId="16" fillId="0" borderId="10" xfId="0" applyFont="1" applyBorder="1" applyAlignment="1">
      <alignment horizontal="center" vertical="center" wrapText="1"/>
    </xf>
    <xf numFmtId="0" fontId="9" fillId="0" borderId="10" xfId="0" applyFont="1" applyBorder="1" applyAlignment="1">
      <alignment horizontal="justify" vertical="center" wrapText="1"/>
    </xf>
    <xf numFmtId="0" fontId="6" fillId="5" borderId="29" xfId="0" applyFont="1" applyFill="1" applyBorder="1" applyAlignment="1">
      <alignment horizontal="center" wrapText="1"/>
    </xf>
    <xf numFmtId="165" fontId="6" fillId="0" borderId="10" xfId="0" applyNumberFormat="1" applyFont="1" applyBorder="1" applyAlignment="1">
      <alignment wrapText="1"/>
    </xf>
    <xf numFmtId="165" fontId="0" fillId="0" borderId="10" xfId="0" applyNumberFormat="1" applyBorder="1"/>
    <xf numFmtId="0" fontId="6" fillId="5" borderId="19" xfId="0" applyFont="1" applyFill="1" applyBorder="1" applyAlignment="1">
      <alignment horizontal="center" wrapText="1"/>
    </xf>
    <xf numFmtId="0" fontId="6" fillId="5" borderId="19" xfId="0" applyFont="1" applyFill="1" applyBorder="1" applyAlignment="1">
      <alignment wrapText="1"/>
    </xf>
    <xf numFmtId="0" fontId="6" fillId="5" borderId="20" xfId="0" applyFont="1" applyFill="1" applyBorder="1" applyAlignment="1">
      <alignment horizontal="center" wrapText="1"/>
    </xf>
    <xf numFmtId="165" fontId="0" fillId="0" borderId="20" xfId="0" applyNumberFormat="1" applyBorder="1"/>
    <xf numFmtId="165" fontId="6" fillId="0" borderId="20" xfId="0" applyNumberFormat="1" applyFont="1" applyBorder="1" applyAlignment="1">
      <alignment wrapText="1"/>
    </xf>
    <xf numFmtId="0" fontId="8" fillId="0" borderId="22" xfId="0" applyFont="1" applyBorder="1" applyAlignment="1">
      <alignment horizontal="center" vertical="center" wrapText="1"/>
    </xf>
    <xf numFmtId="0" fontId="8" fillId="0" borderId="22" xfId="0" applyFont="1" applyBorder="1" applyAlignment="1">
      <alignment horizontal="left" vertical="center" wrapText="1"/>
    </xf>
    <xf numFmtId="0" fontId="16" fillId="0" borderId="22" xfId="0" applyFont="1" applyBorder="1" applyAlignment="1">
      <alignment horizontal="center" vertical="center" wrapText="1"/>
    </xf>
    <xf numFmtId="165" fontId="6" fillId="0" borderId="22" xfId="0" applyNumberFormat="1" applyFont="1" applyBorder="1" applyAlignment="1">
      <alignment wrapText="1"/>
    </xf>
    <xf numFmtId="165" fontId="6" fillId="0" borderId="23" xfId="0" applyNumberFormat="1" applyFont="1" applyBorder="1" applyAlignment="1">
      <alignment wrapText="1"/>
    </xf>
    <xf numFmtId="0" fontId="0" fillId="0" borderId="10" xfId="0" applyBorder="1"/>
    <xf numFmtId="0" fontId="0" fillId="0" borderId="10" xfId="0" applyBorder="1" applyAlignment="1">
      <alignment horizontal="center"/>
    </xf>
    <xf numFmtId="0" fontId="4" fillId="5" borderId="19" xfId="0" applyFont="1" applyFill="1" applyBorder="1" applyAlignment="1">
      <alignment horizontal="center" vertical="center" wrapText="1"/>
    </xf>
    <xf numFmtId="0" fontId="5" fillId="0" borderId="20" xfId="0" applyFont="1" applyBorder="1" applyAlignment="1">
      <alignment vertical="center" wrapText="1"/>
    </xf>
    <xf numFmtId="0" fontId="17" fillId="0" borderId="20" xfId="0" applyFont="1" applyBorder="1" applyAlignment="1">
      <alignment horizontal="center" vertical="center" wrapText="1"/>
    </xf>
    <xf numFmtId="0" fontId="15" fillId="0" borderId="20" xfId="0" applyFont="1" applyBorder="1" applyAlignment="1">
      <alignment horizontal="center" vertical="center" wrapText="1"/>
    </xf>
    <xf numFmtId="0" fontId="0" fillId="0" borderId="19" xfId="0" applyBorder="1"/>
    <xf numFmtId="0" fontId="0" fillId="0" borderId="20" xfId="0" applyBorder="1"/>
    <xf numFmtId="0" fontId="4" fillId="5" borderId="20" xfId="0" applyFont="1" applyFill="1" applyBorder="1" applyAlignment="1">
      <alignment horizontal="center" vertical="center" wrapText="1"/>
    </xf>
    <xf numFmtId="0" fontId="4" fillId="0" borderId="0" xfId="0" applyFont="1" applyAlignment="1">
      <alignment horizontal="center" vertical="center" wrapText="1"/>
    </xf>
    <xf numFmtId="0" fontId="4" fillId="5" borderId="16" xfId="0" applyFont="1" applyFill="1" applyBorder="1" applyAlignment="1">
      <alignment horizontal="left" vertical="center" wrapText="1"/>
    </xf>
    <xf numFmtId="0" fontId="0" fillId="0" borderId="21" xfId="0" applyBorder="1"/>
    <xf numFmtId="0" fontId="0" fillId="0" borderId="22" xfId="0" applyBorder="1"/>
    <xf numFmtId="0" fontId="0" fillId="0" borderId="23" xfId="0" applyBorder="1"/>
    <xf numFmtId="0" fontId="7" fillId="0" borderId="19" xfId="0" applyFont="1" applyBorder="1" applyAlignment="1">
      <alignment horizontal="justify" vertical="center" wrapText="1"/>
    </xf>
    <xf numFmtId="0" fontId="7" fillId="0" borderId="10" xfId="0" applyFont="1" applyBorder="1" applyAlignment="1">
      <alignment horizontal="justify" vertical="center" wrapText="1"/>
    </xf>
    <xf numFmtId="0" fontId="7" fillId="0" borderId="20" xfId="0" applyFont="1" applyBorder="1" applyAlignment="1">
      <alignment horizontal="justify" vertical="center" wrapText="1"/>
    </xf>
    <xf numFmtId="0" fontId="5" fillId="0" borderId="19" xfId="0" applyFont="1" applyBorder="1" applyAlignment="1">
      <alignment horizontal="justify" vertical="center" wrapText="1"/>
    </xf>
    <xf numFmtId="0" fontId="5" fillId="0" borderId="10" xfId="0" applyFont="1" applyBorder="1" applyAlignment="1">
      <alignment horizontal="justify" vertical="center" wrapText="1"/>
    </xf>
    <xf numFmtId="0" fontId="5" fillId="0" borderId="20" xfId="0" applyFont="1" applyBorder="1" applyAlignment="1">
      <alignment horizontal="justify" vertical="center" wrapText="1"/>
    </xf>
    <xf numFmtId="0" fontId="5" fillId="0" borderId="21" xfId="0" applyFont="1" applyBorder="1" applyAlignment="1">
      <alignment horizontal="justify" vertical="center" wrapText="1"/>
    </xf>
    <xf numFmtId="0" fontId="5" fillId="0" borderId="22" xfId="0" applyFont="1" applyBorder="1" applyAlignment="1">
      <alignment horizontal="justify" vertical="center" wrapText="1"/>
    </xf>
    <xf numFmtId="0" fontId="5" fillId="0" borderId="23" xfId="0" applyFont="1" applyBorder="1" applyAlignment="1">
      <alignment horizontal="justify" vertical="center" wrapText="1"/>
    </xf>
    <xf numFmtId="0" fontId="18" fillId="5" borderId="12" xfId="0" applyFont="1" applyFill="1" applyBorder="1" applyAlignment="1">
      <alignment horizontal="center" vertical="center" wrapText="1"/>
    </xf>
    <xf numFmtId="0" fontId="4" fillId="5" borderId="12" xfId="0" applyFont="1" applyFill="1" applyBorder="1" applyAlignment="1">
      <alignment horizontal="center" vertical="center" textRotation="90" wrapText="1"/>
    </xf>
    <xf numFmtId="0" fontId="4" fillId="5" borderId="36" xfId="0" applyFont="1" applyFill="1" applyBorder="1" applyAlignment="1">
      <alignment horizontal="center" vertical="center" textRotation="90" wrapText="1"/>
    </xf>
    <xf numFmtId="0" fontId="7" fillId="0" borderId="27" xfId="0" applyFont="1" applyBorder="1" applyAlignment="1">
      <alignment horizontal="justify" vertical="center" wrapText="1"/>
    </xf>
    <xf numFmtId="0" fontId="5" fillId="0" borderId="27" xfId="0" applyFont="1" applyBorder="1" applyAlignment="1">
      <alignment horizontal="justify" vertical="center" wrapText="1"/>
    </xf>
    <xf numFmtId="0" fontId="5" fillId="0" borderId="28" xfId="0" applyFont="1" applyBorder="1" applyAlignment="1">
      <alignment horizontal="justify" vertical="center" wrapText="1"/>
    </xf>
    <xf numFmtId="0" fontId="18" fillId="5" borderId="36" xfId="0" applyFont="1" applyFill="1" applyBorder="1" applyAlignment="1">
      <alignment horizontal="center" vertical="center" wrapText="1"/>
    </xf>
    <xf numFmtId="0" fontId="4" fillId="5" borderId="35" xfId="0" applyFont="1" applyFill="1" applyBorder="1" applyAlignment="1">
      <alignment horizontal="center" vertical="center" textRotation="90" wrapText="1"/>
    </xf>
    <xf numFmtId="0" fontId="18" fillId="5" borderId="31" xfId="0" applyFont="1" applyFill="1" applyBorder="1" applyAlignment="1">
      <alignment horizontal="center" vertical="center" wrapText="1"/>
    </xf>
    <xf numFmtId="0" fontId="4" fillId="5" borderId="36" xfId="0" applyFont="1" applyFill="1" applyBorder="1" applyAlignment="1">
      <alignment horizontal="center" vertical="center" wrapText="1"/>
    </xf>
    <xf numFmtId="0" fontId="6" fillId="5" borderId="2" xfId="0" applyFont="1" applyFill="1" applyBorder="1" applyAlignment="1">
      <alignment horizontal="center"/>
    </xf>
    <xf numFmtId="0" fontId="6" fillId="9" borderId="2" xfId="0" applyFont="1" applyFill="1" applyBorder="1" applyAlignment="1">
      <alignment horizontal="center"/>
    </xf>
    <xf numFmtId="0" fontId="19" fillId="5" borderId="10" xfId="0" applyFont="1" applyFill="1" applyBorder="1" applyAlignment="1">
      <alignment horizontal="left" vertical="center" wrapText="1"/>
    </xf>
    <xf numFmtId="0" fontId="8" fillId="0" borderId="20" xfId="0" applyFont="1" applyBorder="1" applyAlignment="1">
      <alignment vertical="center" wrapText="1"/>
    </xf>
    <xf numFmtId="0" fontId="19" fillId="5" borderId="22" xfId="0" applyFont="1" applyFill="1" applyBorder="1" applyAlignment="1">
      <alignment horizontal="left" vertical="center" wrapText="1"/>
    </xf>
    <xf numFmtId="0" fontId="8" fillId="0" borderId="22" xfId="0" applyFont="1" applyBorder="1" applyAlignment="1">
      <alignment vertical="center" wrapText="1"/>
    </xf>
    <xf numFmtId="0" fontId="8" fillId="0" borderId="23" xfId="0" applyFont="1" applyBorder="1" applyAlignment="1">
      <alignment vertical="center" wrapText="1"/>
    </xf>
    <xf numFmtId="0" fontId="0" fillId="0" borderId="12" xfId="0" applyBorder="1"/>
    <xf numFmtId="0" fontId="0" fillId="0" borderId="36" xfId="0" applyBorder="1"/>
    <xf numFmtId="0" fontId="4" fillId="5" borderId="22" xfId="0" applyFont="1" applyFill="1" applyBorder="1" applyAlignment="1">
      <alignment vertical="center" wrapText="1"/>
    </xf>
    <xf numFmtId="0" fontId="4" fillId="5" borderId="23" xfId="0" applyFont="1" applyFill="1" applyBorder="1" applyAlignment="1">
      <alignment horizontal="center" vertical="center" wrapText="1"/>
    </xf>
    <xf numFmtId="0" fontId="4" fillId="5" borderId="21" xfId="0" applyFont="1" applyFill="1" applyBorder="1" applyAlignment="1">
      <alignment horizontal="center" vertical="center" wrapText="1"/>
    </xf>
    <xf numFmtId="0" fontId="4" fillId="5" borderId="22" xfId="0" applyFont="1" applyFill="1" applyBorder="1" applyAlignment="1">
      <alignment horizontal="center" vertical="center" wrapText="1"/>
    </xf>
    <xf numFmtId="0" fontId="42" fillId="0" borderId="35" xfId="0" applyFont="1" applyBorder="1"/>
    <xf numFmtId="0" fontId="42" fillId="0" borderId="19" xfId="0" applyFont="1" applyBorder="1"/>
    <xf numFmtId="0" fontId="42" fillId="0" borderId="21" xfId="0" applyFont="1" applyBorder="1"/>
    <xf numFmtId="0" fontId="6" fillId="10" borderId="16" xfId="0" applyFont="1" applyFill="1" applyBorder="1" applyAlignment="1">
      <alignment horizontal="center" wrapText="1"/>
    </xf>
    <xf numFmtId="0" fontId="6" fillId="10" borderId="17" xfId="0" applyFont="1" applyFill="1" applyBorder="1" applyAlignment="1">
      <alignment horizontal="center" wrapText="1"/>
    </xf>
    <xf numFmtId="0" fontId="6" fillId="10" borderId="18" xfId="0" applyFont="1" applyFill="1" applyBorder="1" applyAlignment="1">
      <alignment horizontal="center" wrapText="1"/>
    </xf>
    <xf numFmtId="0" fontId="41" fillId="0" borderId="19" xfId="0" applyFont="1" applyBorder="1" applyAlignment="1">
      <alignment vertical="center" wrapText="1"/>
    </xf>
    <xf numFmtId="0" fontId="41" fillId="0" borderId="21" xfId="0" applyFont="1" applyBorder="1" applyAlignment="1">
      <alignment vertical="center" wrapText="1"/>
    </xf>
    <xf numFmtId="0" fontId="9" fillId="0" borderId="20" xfId="0" applyFont="1" applyBorder="1" applyAlignment="1">
      <alignment horizontal="justify" vertical="center" wrapText="1"/>
    </xf>
    <xf numFmtId="0" fontId="9" fillId="0" borderId="22" xfId="0" applyFont="1" applyBorder="1" applyAlignment="1">
      <alignment horizontal="justify" vertical="center" wrapText="1"/>
    </xf>
    <xf numFmtId="0" fontId="9" fillId="0" borderId="23" xfId="0" applyFont="1" applyBorder="1" applyAlignment="1">
      <alignment horizontal="justify" vertical="center" wrapText="1"/>
    </xf>
    <xf numFmtId="0" fontId="41" fillId="0" borderId="19" xfId="0" applyFont="1" applyBorder="1" applyAlignment="1">
      <alignment horizontal="justify" vertical="center" wrapText="1"/>
    </xf>
    <xf numFmtId="0" fontId="41" fillId="0" borderId="21" xfId="0" applyFont="1" applyBorder="1" applyAlignment="1">
      <alignment horizontal="justify" vertical="center" wrapText="1"/>
    </xf>
    <xf numFmtId="0" fontId="27" fillId="5" borderId="10" xfId="0" applyFont="1" applyFill="1" applyBorder="1" applyAlignment="1">
      <alignment horizontal="center" wrapText="1"/>
    </xf>
    <xf numFmtId="0" fontId="27" fillId="5" borderId="19" xfId="0" applyFont="1" applyFill="1" applyBorder="1" applyAlignment="1">
      <alignment horizontal="center" wrapText="1"/>
    </xf>
    <xf numFmtId="0" fontId="27" fillId="5" borderId="20" xfId="0" applyFont="1" applyFill="1" applyBorder="1" applyAlignment="1">
      <alignment horizontal="center" wrapText="1"/>
    </xf>
    <xf numFmtId="0" fontId="0" fillId="11" borderId="0" xfId="0" applyFill="1"/>
    <xf numFmtId="0" fontId="30" fillId="0" borderId="10" xfId="0" applyFont="1" applyBorder="1" applyAlignment="1">
      <alignment horizontal="left" vertical="center" wrapText="1"/>
    </xf>
    <xf numFmtId="0" fontId="30" fillId="0" borderId="10" xfId="0" applyFont="1" applyBorder="1" applyAlignment="1">
      <alignment horizontal="left" vertical="center"/>
    </xf>
    <xf numFmtId="0" fontId="25" fillId="5" borderId="16" xfId="0" applyFont="1" applyFill="1" applyBorder="1" applyAlignment="1">
      <alignment horizontal="center" vertical="center" wrapText="1"/>
    </xf>
    <xf numFmtId="0" fontId="25" fillId="5" borderId="17" xfId="0" applyFont="1" applyFill="1" applyBorder="1" applyAlignment="1">
      <alignment horizontal="center" vertical="center" wrapText="1"/>
    </xf>
    <xf numFmtId="0" fontId="25" fillId="5" borderId="18" xfId="0" applyFont="1" applyFill="1" applyBorder="1" applyAlignment="1">
      <alignment horizontal="center" vertical="center" wrapText="1"/>
    </xf>
    <xf numFmtId="0" fontId="29" fillId="0" borderId="19" xfId="0" applyFont="1" applyBorder="1" applyAlignment="1">
      <alignment horizontal="left" vertical="center"/>
    </xf>
    <xf numFmtId="0" fontId="30" fillId="0" borderId="20" xfId="0" applyFont="1" applyBorder="1" applyAlignment="1">
      <alignment horizontal="left" vertical="center" wrapText="1"/>
    </xf>
    <xf numFmtId="0" fontId="29" fillId="0" borderId="21" xfId="0" applyFont="1" applyBorder="1" applyAlignment="1">
      <alignment horizontal="left" vertical="center"/>
    </xf>
    <xf numFmtId="0" fontId="30" fillId="0" borderId="22" xfId="0" applyFont="1" applyBorder="1" applyAlignment="1">
      <alignment horizontal="left" vertical="center" wrapText="1"/>
    </xf>
    <xf numFmtId="0" fontId="30" fillId="0" borderId="22" xfId="0" applyFont="1" applyBorder="1" applyAlignment="1">
      <alignment horizontal="left" vertical="center"/>
    </xf>
    <xf numFmtId="0" fontId="30" fillId="0" borderId="23" xfId="0" applyFont="1" applyBorder="1" applyAlignment="1">
      <alignment horizontal="left" vertical="center" wrapText="1"/>
    </xf>
    <xf numFmtId="9" fontId="12" fillId="0" borderId="10" xfId="0" applyNumberFormat="1" applyFont="1" applyBorder="1" applyAlignment="1">
      <alignment horizontal="center" vertical="center" wrapText="1"/>
    </xf>
    <xf numFmtId="0" fontId="12" fillId="0" borderId="10" xfId="0" applyFont="1" applyBorder="1" applyAlignment="1">
      <alignment horizontal="center" vertical="center" wrapText="1"/>
    </xf>
    <xf numFmtId="0" fontId="22" fillId="4" borderId="19" xfId="0" applyFont="1" applyFill="1" applyBorder="1" applyAlignment="1">
      <alignment horizontal="left" vertical="center" wrapText="1"/>
    </xf>
    <xf numFmtId="9" fontId="12" fillId="0" borderId="20" xfId="0" applyNumberFormat="1" applyFont="1" applyBorder="1" applyAlignment="1">
      <alignment horizontal="center" vertical="center" wrapText="1"/>
    </xf>
    <xf numFmtId="0" fontId="21" fillId="3" borderId="19" xfId="0" applyFont="1" applyFill="1" applyBorder="1" applyAlignment="1">
      <alignment horizontal="left" vertical="center" wrapText="1"/>
    </xf>
    <xf numFmtId="0" fontId="20" fillId="2" borderId="21" xfId="0" applyFont="1" applyFill="1" applyBorder="1" applyAlignment="1">
      <alignment horizontal="left" vertical="center" wrapText="1"/>
    </xf>
    <xf numFmtId="0" fontId="12" fillId="0" borderId="22" xfId="0" applyFont="1" applyBorder="1" applyAlignment="1">
      <alignment horizontal="center" vertical="center" wrapText="1"/>
    </xf>
    <xf numFmtId="9" fontId="12" fillId="0" borderId="23" xfId="0" applyNumberFormat="1" applyFont="1" applyBorder="1" applyAlignment="1">
      <alignment horizontal="center" vertical="center" wrapText="1"/>
    </xf>
    <xf numFmtId="0" fontId="29" fillId="0" borderId="10" xfId="0" applyFont="1" applyBorder="1" applyAlignment="1">
      <alignment horizontal="left" vertical="center" wrapText="1"/>
    </xf>
    <xf numFmtId="0" fontId="29" fillId="0" borderId="10" xfId="0" applyFont="1" applyBorder="1" applyAlignment="1">
      <alignment vertical="center" wrapText="1"/>
    </xf>
    <xf numFmtId="0" fontId="34" fillId="0" borderId="10" xfId="0" applyFont="1" applyBorder="1" applyAlignment="1">
      <alignment vertical="center" wrapText="1"/>
    </xf>
    <xf numFmtId="0" fontId="30" fillId="0" borderId="10" xfId="0" applyFont="1" applyBorder="1" applyAlignment="1">
      <alignment vertical="center" wrapText="1"/>
    </xf>
    <xf numFmtId="0" fontId="34" fillId="0" borderId="10" xfId="0" applyFont="1" applyBorder="1" applyAlignment="1">
      <alignment horizontal="justify" vertical="center" wrapText="1"/>
    </xf>
    <xf numFmtId="9" fontId="34" fillId="0" borderId="10" xfId="0" applyNumberFormat="1" applyFont="1" applyBorder="1" applyAlignment="1">
      <alignment horizontal="center" vertical="center" wrapText="1"/>
    </xf>
    <xf numFmtId="9" fontId="35" fillId="6" borderId="10" xfId="0" applyNumberFormat="1" applyFont="1" applyFill="1" applyBorder="1" applyAlignment="1">
      <alignment horizontal="left" vertical="center" wrapText="1"/>
    </xf>
    <xf numFmtId="9" fontId="35" fillId="7" borderId="10" xfId="0" applyNumberFormat="1" applyFont="1" applyFill="1" applyBorder="1" applyAlignment="1">
      <alignment horizontal="left" vertical="center" wrapText="1"/>
    </xf>
    <xf numFmtId="0" fontId="37" fillId="8" borderId="10" xfId="3" applyFont="1" applyFill="1" applyBorder="1" applyAlignment="1">
      <alignment horizontal="left" vertical="center"/>
    </xf>
    <xf numFmtId="0" fontId="33" fillId="5" borderId="16" xfId="0" applyFont="1" applyFill="1" applyBorder="1" applyAlignment="1">
      <alignment horizontal="center" vertical="center" wrapText="1"/>
    </xf>
    <xf numFmtId="0" fontId="33" fillId="5" borderId="17" xfId="0" applyFont="1" applyFill="1" applyBorder="1" applyAlignment="1">
      <alignment horizontal="center" vertical="center" wrapText="1"/>
    </xf>
    <xf numFmtId="0" fontId="33" fillId="5" borderId="17" xfId="0" applyFont="1" applyFill="1" applyBorder="1" applyAlignment="1">
      <alignment horizontal="center" vertical="center"/>
    </xf>
    <xf numFmtId="0" fontId="33" fillId="5" borderId="18" xfId="0" applyFont="1" applyFill="1" applyBorder="1" applyAlignment="1">
      <alignment horizontal="center" vertical="center" wrapText="1"/>
    </xf>
    <xf numFmtId="0" fontId="34" fillId="0" borderId="19" xfId="0" applyFont="1" applyBorder="1" applyAlignment="1">
      <alignment horizontal="center" vertical="center" wrapText="1"/>
    </xf>
    <xf numFmtId="0" fontId="34" fillId="0" borderId="20" xfId="0" applyFont="1" applyBorder="1" applyAlignment="1">
      <alignment vertical="center" wrapText="1"/>
    </xf>
    <xf numFmtId="0" fontId="34" fillId="0" borderId="21" xfId="0" applyFont="1" applyBorder="1" applyAlignment="1">
      <alignment horizontal="center" vertical="center" wrapText="1"/>
    </xf>
    <xf numFmtId="0" fontId="29" fillId="0" borderId="22" xfId="0" applyFont="1" applyBorder="1" applyAlignment="1">
      <alignment horizontal="left" vertical="center" wrapText="1"/>
    </xf>
    <xf numFmtId="0" fontId="29" fillId="0" borderId="22" xfId="0" applyFont="1" applyBorder="1" applyAlignment="1">
      <alignment vertical="center" wrapText="1"/>
    </xf>
    <xf numFmtId="0" fontId="34" fillId="0" borderId="22" xfId="0" applyFont="1" applyBorder="1" applyAlignment="1">
      <alignment vertical="center" wrapText="1"/>
    </xf>
    <xf numFmtId="0" fontId="30" fillId="0" borderId="22" xfId="0" applyFont="1" applyBorder="1" applyAlignment="1">
      <alignment vertical="center" wrapText="1"/>
    </xf>
    <xf numFmtId="0" fontId="34" fillId="0" borderId="22" xfId="0" applyFont="1" applyBorder="1" applyAlignment="1">
      <alignment horizontal="justify" vertical="center" wrapText="1"/>
    </xf>
    <xf numFmtId="9" fontId="34" fillId="0" borderId="22" xfId="0" applyNumberFormat="1" applyFont="1" applyBorder="1" applyAlignment="1">
      <alignment horizontal="center" vertical="center" wrapText="1"/>
    </xf>
    <xf numFmtId="9" fontId="35" fillId="6" borderId="22" xfId="0" applyNumberFormat="1" applyFont="1" applyFill="1" applyBorder="1" applyAlignment="1">
      <alignment horizontal="left" vertical="center" wrapText="1"/>
    </xf>
    <xf numFmtId="9" fontId="35" fillId="7" borderId="22" xfId="0" applyNumberFormat="1" applyFont="1" applyFill="1" applyBorder="1" applyAlignment="1">
      <alignment horizontal="left" vertical="center" wrapText="1"/>
    </xf>
    <xf numFmtId="0" fontId="37" fillId="8" borderId="22" xfId="3" applyFont="1" applyFill="1" applyBorder="1" applyAlignment="1">
      <alignment horizontal="left" vertical="center"/>
    </xf>
    <xf numFmtId="0" fontId="34" fillId="0" borderId="23" xfId="0" applyFont="1" applyBorder="1" applyAlignment="1">
      <alignment vertical="center" wrapText="1"/>
    </xf>
    <xf numFmtId="0" fontId="23" fillId="0" borderId="8" xfId="0" applyFont="1" applyBorder="1" applyAlignment="1">
      <alignment vertical="center" wrapText="1"/>
    </xf>
    <xf numFmtId="0" fontId="23" fillId="0" borderId="5" xfId="0" applyFont="1" applyBorder="1" applyAlignment="1">
      <alignment vertical="center" wrapText="1"/>
    </xf>
    <xf numFmtId="0" fontId="39" fillId="0" borderId="8" xfId="0" applyFont="1" applyBorder="1" applyAlignment="1">
      <alignment horizontal="center" vertical="center" wrapText="1"/>
    </xf>
    <xf numFmtId="0" fontId="39" fillId="0" borderId="6" xfId="0" applyFont="1" applyBorder="1" applyAlignment="1">
      <alignment horizontal="center" vertical="center" wrapText="1"/>
    </xf>
    <xf numFmtId="0" fontId="39" fillId="0" borderId="5" xfId="0" applyFont="1" applyBorder="1" applyAlignment="1">
      <alignment horizontal="center" vertical="center" wrapText="1"/>
    </xf>
    <xf numFmtId="0" fontId="39" fillId="0" borderId="9"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28" xfId="0" applyFont="1" applyBorder="1" applyAlignment="1">
      <alignment horizontal="center" vertical="center" wrapText="1"/>
    </xf>
    <xf numFmtId="0" fontId="4" fillId="9" borderId="0" xfId="0" applyFont="1" applyFill="1" applyAlignment="1">
      <alignment horizontal="center" vertical="center" wrapText="1"/>
    </xf>
    <xf numFmtId="0" fontId="4" fillId="5" borderId="34" xfId="0" applyFont="1" applyFill="1" applyBorder="1" applyAlignment="1">
      <alignment horizontal="center" vertical="center" wrapText="1"/>
    </xf>
    <xf numFmtId="0" fontId="4" fillId="5" borderId="33" xfId="0" applyFont="1" applyFill="1" applyBorder="1" applyAlignment="1">
      <alignment horizontal="center" vertical="center" wrapText="1"/>
    </xf>
    <xf numFmtId="0" fontId="10" fillId="0" borderId="10" xfId="0" applyFont="1" applyBorder="1" applyAlignment="1">
      <alignment horizontal="center" vertical="center" wrapText="1"/>
    </xf>
    <xf numFmtId="0" fontId="10" fillId="0" borderId="22" xfId="0" applyFont="1" applyBorder="1" applyAlignment="1">
      <alignment horizontal="center" vertical="center" wrapText="1"/>
    </xf>
    <xf numFmtId="0" fontId="4" fillId="9" borderId="11" xfId="0" applyFont="1" applyFill="1" applyBorder="1" applyAlignment="1">
      <alignment horizontal="center" vertical="center" wrapText="1"/>
    </xf>
    <xf numFmtId="0" fontId="4" fillId="5" borderId="17" xfId="0" applyFont="1" applyFill="1" applyBorder="1" applyAlignment="1">
      <alignment horizontal="center" vertical="center" wrapText="1"/>
    </xf>
    <xf numFmtId="0" fontId="41" fillId="0" borderId="19" xfId="0" applyFont="1" applyBorder="1" applyAlignment="1">
      <alignment horizontal="center" vertical="center" wrapText="1"/>
    </xf>
    <xf numFmtId="0" fontId="41" fillId="0" borderId="21" xfId="0" applyFont="1" applyBorder="1" applyAlignment="1">
      <alignment horizontal="center" vertical="center" wrapText="1"/>
    </xf>
    <xf numFmtId="0" fontId="6" fillId="5" borderId="16" xfId="0" applyFont="1" applyFill="1" applyBorder="1" applyAlignment="1">
      <alignment horizontal="center" wrapText="1"/>
    </xf>
    <xf numFmtId="0" fontId="6" fillId="5" borderId="17" xfId="0" applyFont="1" applyFill="1" applyBorder="1" applyAlignment="1">
      <alignment horizontal="center" wrapText="1"/>
    </xf>
    <xf numFmtId="0" fontId="6" fillId="5" borderId="34" xfId="0" applyFont="1" applyFill="1" applyBorder="1" applyAlignment="1">
      <alignment horizontal="center" wrapText="1"/>
    </xf>
    <xf numFmtId="165" fontId="6" fillId="5" borderId="10" xfId="1" applyNumberFormat="1" applyFont="1" applyFill="1" applyBorder="1" applyAlignment="1">
      <alignment horizontal="center" vertical="center" wrapText="1"/>
    </xf>
    <xf numFmtId="165" fontId="6" fillId="5" borderId="20" xfId="1" applyNumberFormat="1" applyFont="1" applyFill="1" applyBorder="1" applyAlignment="1">
      <alignment horizontal="center" vertical="center" wrapText="1"/>
    </xf>
    <xf numFmtId="0" fontId="6" fillId="5" borderId="18" xfId="0" applyFont="1" applyFill="1" applyBorder="1" applyAlignment="1">
      <alignment horizontal="center" wrapText="1"/>
    </xf>
    <xf numFmtId="0" fontId="4" fillId="5" borderId="10" xfId="0" applyFont="1" applyFill="1" applyBorder="1" applyAlignment="1">
      <alignment horizontal="center" vertical="center" wrapText="1"/>
    </xf>
    <xf numFmtId="0" fontId="0" fillId="0" borderId="10" xfId="0" applyBorder="1" applyAlignment="1">
      <alignment horizontal="center"/>
    </xf>
    <xf numFmtId="0" fontId="4" fillId="5" borderId="16" xfId="0" applyFont="1" applyFill="1" applyBorder="1" applyAlignment="1">
      <alignment horizontal="center" vertical="center" wrapText="1"/>
    </xf>
    <xf numFmtId="0" fontId="4" fillId="5" borderId="18"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5" fillId="0" borderId="10" xfId="0" applyFont="1" applyBorder="1" applyAlignment="1">
      <alignment horizontal="center" vertical="center" wrapText="1"/>
    </xf>
    <xf numFmtId="0" fontId="3" fillId="0" borderId="10" xfId="0" applyFont="1" applyBorder="1" applyAlignment="1">
      <alignment horizontal="center" vertical="center" wrapText="1"/>
    </xf>
    <xf numFmtId="0" fontId="24" fillId="0" borderId="10" xfId="0" applyFont="1" applyBorder="1" applyAlignment="1">
      <alignment horizontal="center" vertical="center" wrapText="1"/>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5" fillId="0" borderId="20" xfId="0" applyFont="1" applyBorder="1" applyAlignment="1">
      <alignment horizontal="center" vertical="center" wrapText="1"/>
    </xf>
    <xf numFmtId="0" fontId="4" fillId="5" borderId="20"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5" borderId="0" xfId="0" applyFont="1" applyFill="1" applyAlignment="1">
      <alignment horizontal="center" vertical="center" wrapText="1"/>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4" fillId="9" borderId="14" xfId="0" applyFont="1" applyFill="1" applyBorder="1" applyAlignment="1">
      <alignment horizontal="center" vertical="center" wrapText="1"/>
    </xf>
    <xf numFmtId="0" fontId="4" fillId="9" borderId="15" xfId="0" applyFont="1" applyFill="1" applyBorder="1" applyAlignment="1">
      <alignment horizontal="center" vertical="center" wrapText="1"/>
    </xf>
    <xf numFmtId="0" fontId="4" fillId="9" borderId="24" xfId="0" applyFont="1" applyFill="1" applyBorder="1" applyAlignment="1">
      <alignment horizontal="center" vertical="center" wrapText="1"/>
    </xf>
    <xf numFmtId="0" fontId="4" fillId="9" borderId="25" xfId="0" applyFont="1" applyFill="1" applyBorder="1" applyAlignment="1">
      <alignment horizontal="center" vertical="center" wrapText="1"/>
    </xf>
    <xf numFmtId="0" fontId="4" fillId="9" borderId="26" xfId="0" applyFont="1" applyFill="1" applyBorder="1" applyAlignment="1">
      <alignment horizontal="center" vertical="center" wrapText="1"/>
    </xf>
    <xf numFmtId="0" fontId="6" fillId="9" borderId="2" xfId="0" applyFont="1" applyFill="1" applyBorder="1" applyAlignment="1">
      <alignment horizontal="center" vertical="center" textRotation="90"/>
    </xf>
    <xf numFmtId="0" fontId="4" fillId="9" borderId="16" xfId="0" applyFont="1" applyFill="1" applyBorder="1" applyAlignment="1">
      <alignment horizontal="center" vertical="center" wrapText="1"/>
    </xf>
    <xf numFmtId="0" fontId="4" fillId="9" borderId="17" xfId="0" applyFont="1" applyFill="1" applyBorder="1" applyAlignment="1">
      <alignment horizontal="center" vertical="center" wrapText="1"/>
    </xf>
    <xf numFmtId="0" fontId="4" fillId="9" borderId="18" xfId="0" applyFont="1" applyFill="1" applyBorder="1" applyAlignment="1">
      <alignment horizontal="center" vertical="center" wrapText="1"/>
    </xf>
    <xf numFmtId="0" fontId="4" fillId="5" borderId="32" xfId="0" applyFont="1" applyFill="1" applyBorder="1" applyAlignment="1">
      <alignment horizontal="center" vertical="center" wrapText="1"/>
    </xf>
    <xf numFmtId="0" fontId="4" fillId="5" borderId="37" xfId="0" applyFont="1" applyFill="1" applyBorder="1" applyAlignment="1">
      <alignment horizontal="center" vertical="center" wrapText="1"/>
    </xf>
    <xf numFmtId="0" fontId="4" fillId="5" borderId="38"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5" fillId="0" borderId="0" xfId="0" applyFont="1" applyAlignment="1">
      <alignment horizontal="center" vertical="center" wrapText="1"/>
    </xf>
    <xf numFmtId="0" fontId="42" fillId="0" borderId="35" xfId="0" applyFont="1" applyBorder="1" applyAlignment="1">
      <alignment horizontal="left" vertical="center"/>
    </xf>
    <xf numFmtId="0" fontId="42" fillId="0" borderId="19" xfId="0" applyFont="1" applyBorder="1" applyAlignment="1">
      <alignment horizontal="left" vertical="center"/>
    </xf>
    <xf numFmtId="0" fontId="42" fillId="0" borderId="21" xfId="0" applyFont="1" applyBorder="1" applyAlignment="1">
      <alignment horizontal="left" vertical="center"/>
    </xf>
    <xf numFmtId="0" fontId="4" fillId="9" borderId="37" xfId="0" applyFont="1" applyFill="1" applyBorder="1" applyAlignment="1">
      <alignment horizontal="center" vertical="center" wrapText="1"/>
    </xf>
    <xf numFmtId="0" fontId="4" fillId="9" borderId="39" xfId="0" applyFont="1" applyFill="1" applyBorder="1" applyAlignment="1">
      <alignment horizontal="center" vertical="center" wrapText="1"/>
    </xf>
    <xf numFmtId="0" fontId="4" fillId="9" borderId="38" xfId="0" applyFont="1" applyFill="1" applyBorder="1" applyAlignment="1">
      <alignment horizontal="center" vertical="center" wrapText="1"/>
    </xf>
    <xf numFmtId="0" fontId="43" fillId="0" borderId="0" xfId="0" applyFont="1" applyAlignment="1">
      <alignment horizontal="center"/>
    </xf>
    <xf numFmtId="0" fontId="6" fillId="5" borderId="16" xfId="0" applyFont="1" applyFill="1" applyBorder="1" applyAlignment="1">
      <alignment horizontal="center" vertical="center" wrapText="1"/>
    </xf>
    <xf numFmtId="0" fontId="6" fillId="5" borderId="17"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33" fillId="5" borderId="17" xfId="0" applyFont="1" applyFill="1" applyBorder="1" applyAlignment="1">
      <alignment horizontal="center" vertical="center"/>
    </xf>
    <xf numFmtId="0" fontId="0" fillId="0" borderId="0" xfId="0" applyAlignment="1">
      <alignment horizontal="center"/>
    </xf>
    <xf numFmtId="0" fontId="6" fillId="5" borderId="2" xfId="0" applyFont="1" applyFill="1" applyBorder="1" applyAlignment="1">
      <alignment horizontal="center" vertical="center" wrapText="1"/>
    </xf>
    <xf numFmtId="0" fontId="44" fillId="0" borderId="0" xfId="0" applyFont="1" applyAlignment="1">
      <alignment horizontal="center"/>
    </xf>
    <xf numFmtId="0" fontId="6" fillId="5" borderId="10" xfId="0" applyFont="1" applyFill="1" applyBorder="1" applyAlignment="1">
      <alignment horizontal="center" vertical="center" wrapText="1"/>
    </xf>
    <xf numFmtId="9" fontId="13" fillId="0" borderId="10" xfId="2" applyFont="1" applyBorder="1" applyAlignment="1">
      <alignment horizontal="left" vertical="center" wrapText="1"/>
    </xf>
    <xf numFmtId="0" fontId="6" fillId="5" borderId="10" xfId="0" applyFont="1" applyFill="1" applyBorder="1" applyAlignment="1">
      <alignment horizontal="center" vertical="center" wrapText="1"/>
    </xf>
    <xf numFmtId="9" fontId="13" fillId="0" borderId="10" xfId="2" applyFont="1" applyBorder="1" applyAlignment="1">
      <alignment horizontal="center" vertical="center" wrapText="1"/>
    </xf>
  </cellXfs>
  <cellStyles count="4">
    <cellStyle name="Moneda [0]" xfId="1" builtinId="7"/>
    <cellStyle name="Normal" xfId="0" builtinId="0"/>
    <cellStyle name="Normal 2" xfId="3" xr:uid="{5F53F93D-CCC0-47DF-8E49-14182AF374F8}"/>
    <cellStyle name="Porcentaje" xfId="2"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8A043"/>
      <color rgb="FFEF19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6081346</xdr:colOff>
      <xdr:row>2</xdr:row>
      <xdr:rowOff>139593</xdr:rowOff>
    </xdr:to>
    <xdr:pic>
      <xdr:nvPicPr>
        <xdr:cNvPr id="3" name="Imagen 2">
          <a:extLst>
            <a:ext uri="{FF2B5EF4-FFF2-40B4-BE49-F238E27FC236}">
              <a16:creationId xmlns:a16="http://schemas.microsoft.com/office/drawing/2014/main" id="{C8ECFCC3-5AA4-A481-0AF2-23AED975C4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136423" cy="6378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2708172</xdr:colOff>
      <xdr:row>5</xdr:row>
      <xdr:rowOff>123824</xdr:rowOff>
    </xdr:to>
    <xdr:pic>
      <xdr:nvPicPr>
        <xdr:cNvPr id="3" name="Imagen 2">
          <a:extLst>
            <a:ext uri="{FF2B5EF4-FFF2-40B4-BE49-F238E27FC236}">
              <a16:creationId xmlns:a16="http://schemas.microsoft.com/office/drawing/2014/main" id="{D2B65F70-B714-1BA6-3FE0-BB8E2F0A877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042672" cy="10763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17145</xdr:colOff>
      <xdr:row>12</xdr:row>
      <xdr:rowOff>123825</xdr:rowOff>
    </xdr:from>
    <xdr:to>
      <xdr:col>6</xdr:col>
      <xdr:colOff>24765</xdr:colOff>
      <xdr:row>49</xdr:row>
      <xdr:rowOff>49530</xdr:rowOff>
    </xdr:to>
    <xdr:cxnSp macro="">
      <xdr:nvCxnSpPr>
        <xdr:cNvPr id="3" name="Conector recto 2">
          <a:extLst>
            <a:ext uri="{FF2B5EF4-FFF2-40B4-BE49-F238E27FC236}">
              <a16:creationId xmlns:a16="http://schemas.microsoft.com/office/drawing/2014/main" id="{1B9990F9-5089-41FF-BE09-3A0D53E655BB}"/>
            </a:ext>
          </a:extLst>
        </xdr:cNvPr>
        <xdr:cNvCxnSpPr/>
      </xdr:nvCxnSpPr>
      <xdr:spPr>
        <a:xfrm>
          <a:off x="11951970" y="2505075"/>
          <a:ext cx="7620" cy="11870055"/>
        </a:xfrm>
        <a:prstGeom prst="line">
          <a:avLst/>
        </a:prstGeom>
        <a:ln w="19050">
          <a:solidFill>
            <a:schemeClr val="bg1"/>
          </a:solidFill>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0</xdr:colOff>
      <xdr:row>0</xdr:row>
      <xdr:rowOff>38100</xdr:rowOff>
    </xdr:from>
    <xdr:to>
      <xdr:col>17</xdr:col>
      <xdr:colOff>76199</xdr:colOff>
      <xdr:row>6</xdr:row>
      <xdr:rowOff>164398</xdr:rowOff>
    </xdr:to>
    <xdr:pic>
      <xdr:nvPicPr>
        <xdr:cNvPr id="8" name="Imagen 7">
          <a:extLst>
            <a:ext uri="{FF2B5EF4-FFF2-40B4-BE49-F238E27FC236}">
              <a16:creationId xmlns:a16="http://schemas.microsoft.com/office/drawing/2014/main" id="{B6FF5039-3270-520F-984B-903ED3C9139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8100"/>
          <a:ext cx="14201774" cy="126929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1552574</xdr:colOff>
      <xdr:row>3</xdr:row>
      <xdr:rowOff>61020</xdr:rowOff>
    </xdr:to>
    <xdr:pic>
      <xdr:nvPicPr>
        <xdr:cNvPr id="3" name="Imagen 2">
          <a:extLst>
            <a:ext uri="{FF2B5EF4-FFF2-40B4-BE49-F238E27FC236}">
              <a16:creationId xmlns:a16="http://schemas.microsoft.com/office/drawing/2014/main" id="{816D6B7C-651F-AC18-5230-C4D118A712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077074" cy="6325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9</xdr:col>
      <xdr:colOff>314325</xdr:colOff>
      <xdr:row>2</xdr:row>
      <xdr:rowOff>132290</xdr:rowOff>
    </xdr:to>
    <xdr:pic>
      <xdr:nvPicPr>
        <xdr:cNvPr id="3" name="Imagen 2">
          <a:extLst>
            <a:ext uri="{FF2B5EF4-FFF2-40B4-BE49-F238E27FC236}">
              <a16:creationId xmlns:a16="http://schemas.microsoft.com/office/drawing/2014/main" id="{2EFA0018-5583-6EEB-A16E-9E4ECC9BBD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7625"/>
          <a:ext cx="5210175" cy="4656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xdr:colOff>
      <xdr:row>0</xdr:row>
      <xdr:rowOff>11206</xdr:rowOff>
    </xdr:from>
    <xdr:to>
      <xdr:col>2</xdr:col>
      <xdr:colOff>705971</xdr:colOff>
      <xdr:row>5</xdr:row>
      <xdr:rowOff>148</xdr:rowOff>
    </xdr:to>
    <xdr:pic>
      <xdr:nvPicPr>
        <xdr:cNvPr id="3" name="Imagen 2">
          <a:extLst>
            <a:ext uri="{FF2B5EF4-FFF2-40B4-BE49-F238E27FC236}">
              <a16:creationId xmlns:a16="http://schemas.microsoft.com/office/drawing/2014/main" id="{1FE44029-6B58-2F51-D8DB-1DBAEEB5751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78191"/>
        <a:stretch/>
      </xdr:blipFill>
      <xdr:spPr>
        <a:xfrm>
          <a:off x="1" y="11206"/>
          <a:ext cx="2297205" cy="941442"/>
        </a:xfrm>
        <a:prstGeom prst="rect">
          <a:avLst/>
        </a:prstGeom>
      </xdr:spPr>
    </xdr:pic>
    <xdr:clientData/>
  </xdr:twoCellAnchor>
  <xdr:twoCellAnchor editAs="oneCell">
    <xdr:from>
      <xdr:col>21</xdr:col>
      <xdr:colOff>56029</xdr:colOff>
      <xdr:row>0</xdr:row>
      <xdr:rowOff>0</xdr:rowOff>
    </xdr:from>
    <xdr:to>
      <xdr:col>26</xdr:col>
      <xdr:colOff>186021</xdr:colOff>
      <xdr:row>4</xdr:row>
      <xdr:rowOff>190088</xdr:rowOff>
    </xdr:to>
    <xdr:pic>
      <xdr:nvPicPr>
        <xdr:cNvPr id="5" name="Imagen 4">
          <a:extLst>
            <a:ext uri="{FF2B5EF4-FFF2-40B4-BE49-F238E27FC236}">
              <a16:creationId xmlns:a16="http://schemas.microsoft.com/office/drawing/2014/main" id="{834FE996-4FE8-2DE5-F07C-C28C8A969CC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4578" r="1"/>
        <a:stretch/>
      </xdr:blipFill>
      <xdr:spPr>
        <a:xfrm>
          <a:off x="17660470" y="0"/>
          <a:ext cx="1642786" cy="95208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1704975</xdr:colOff>
      <xdr:row>2</xdr:row>
      <xdr:rowOff>145958</xdr:rowOff>
    </xdr:to>
    <xdr:pic>
      <xdr:nvPicPr>
        <xdr:cNvPr id="3" name="Imagen 2">
          <a:extLst>
            <a:ext uri="{FF2B5EF4-FFF2-40B4-BE49-F238E27FC236}">
              <a16:creationId xmlns:a16="http://schemas.microsoft.com/office/drawing/2014/main" id="{F686843D-F79C-85F8-3E2F-45DFA75011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895975" cy="52695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1209675</xdr:colOff>
      <xdr:row>3</xdr:row>
      <xdr:rowOff>186162</xdr:rowOff>
    </xdr:to>
    <xdr:pic>
      <xdr:nvPicPr>
        <xdr:cNvPr id="3" name="Imagen 2">
          <a:extLst>
            <a:ext uri="{FF2B5EF4-FFF2-40B4-BE49-F238E27FC236}">
              <a16:creationId xmlns:a16="http://schemas.microsoft.com/office/drawing/2014/main" id="{FEEF0BDB-EAA8-3353-7FC2-597D1150837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8477250" cy="75766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9525</xdr:rowOff>
    </xdr:from>
    <xdr:to>
      <xdr:col>2</xdr:col>
      <xdr:colOff>2796207</xdr:colOff>
      <xdr:row>2</xdr:row>
      <xdr:rowOff>104775</xdr:rowOff>
    </xdr:to>
    <xdr:pic>
      <xdr:nvPicPr>
        <xdr:cNvPr id="3" name="Imagen 2">
          <a:extLst>
            <a:ext uri="{FF2B5EF4-FFF2-40B4-BE49-F238E27FC236}">
              <a16:creationId xmlns:a16="http://schemas.microsoft.com/office/drawing/2014/main" id="{FF45945B-C47E-86A6-B5E2-EDA062C7D99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9525"/>
          <a:ext cx="5968032" cy="5334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609599</xdr:colOff>
      <xdr:row>5</xdr:row>
      <xdr:rowOff>34164</xdr:rowOff>
    </xdr:to>
    <xdr:pic>
      <xdr:nvPicPr>
        <xdr:cNvPr id="3" name="Imagen 2">
          <a:extLst>
            <a:ext uri="{FF2B5EF4-FFF2-40B4-BE49-F238E27FC236}">
              <a16:creationId xmlns:a16="http://schemas.microsoft.com/office/drawing/2014/main" id="{00F547AA-7B82-513C-F12A-9BFA7EA241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039474" cy="98666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657224</xdr:colOff>
      <xdr:row>4</xdr:row>
      <xdr:rowOff>123824</xdr:rowOff>
    </xdr:to>
    <xdr:pic>
      <xdr:nvPicPr>
        <xdr:cNvPr id="4" name="Imagen 3">
          <a:extLst>
            <a:ext uri="{FF2B5EF4-FFF2-40B4-BE49-F238E27FC236}">
              <a16:creationId xmlns:a16="http://schemas.microsoft.com/office/drawing/2014/main" id="{1A15DCF5-4050-4DB7-B0E0-D4A3D7D3C9E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13" r="1"/>
        <a:stretch/>
      </xdr:blipFill>
      <xdr:spPr>
        <a:xfrm>
          <a:off x="0" y="0"/>
          <a:ext cx="10906124" cy="88582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771525</xdr:colOff>
      <xdr:row>4</xdr:row>
      <xdr:rowOff>133350</xdr:rowOff>
    </xdr:to>
    <xdr:pic>
      <xdr:nvPicPr>
        <xdr:cNvPr id="3" name="Imagen 2">
          <a:extLst>
            <a:ext uri="{FF2B5EF4-FFF2-40B4-BE49-F238E27FC236}">
              <a16:creationId xmlns:a16="http://schemas.microsoft.com/office/drawing/2014/main" id="{EEE902B6-75D6-A156-6038-05B19DA698B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906125" cy="8953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704849</xdr:colOff>
      <xdr:row>4</xdr:row>
      <xdr:rowOff>137830</xdr:rowOff>
    </xdr:to>
    <xdr:pic>
      <xdr:nvPicPr>
        <xdr:cNvPr id="3" name="Imagen 2">
          <a:extLst>
            <a:ext uri="{FF2B5EF4-FFF2-40B4-BE49-F238E27FC236}">
              <a16:creationId xmlns:a16="http://schemas.microsoft.com/office/drawing/2014/main" id="{0EFA2F5F-DC3B-1DED-7E46-4EA88D34B6E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067924" cy="89983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1219200</xdr:colOff>
      <xdr:row>3</xdr:row>
      <xdr:rowOff>123166</xdr:rowOff>
    </xdr:to>
    <xdr:pic>
      <xdr:nvPicPr>
        <xdr:cNvPr id="3" name="Imagen 2">
          <a:extLst>
            <a:ext uri="{FF2B5EF4-FFF2-40B4-BE49-F238E27FC236}">
              <a16:creationId xmlns:a16="http://schemas.microsoft.com/office/drawing/2014/main" id="{36079272-6160-9B21-EFAF-AD33F18DAA1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78431"/>
        <a:stretch/>
      </xdr:blipFill>
      <xdr:spPr>
        <a:xfrm>
          <a:off x="0" y="190500"/>
          <a:ext cx="1676400" cy="694666"/>
        </a:xfrm>
        <a:prstGeom prst="rect">
          <a:avLst/>
        </a:prstGeom>
      </xdr:spPr>
    </xdr:pic>
    <xdr:clientData/>
  </xdr:twoCellAnchor>
  <xdr:twoCellAnchor editAs="oneCell">
    <xdr:from>
      <xdr:col>13</xdr:col>
      <xdr:colOff>1000125</xdr:colOff>
      <xdr:row>0</xdr:row>
      <xdr:rowOff>0</xdr:rowOff>
    </xdr:from>
    <xdr:to>
      <xdr:col>14</xdr:col>
      <xdr:colOff>1066800</xdr:colOff>
      <xdr:row>3</xdr:row>
      <xdr:rowOff>157899</xdr:rowOff>
    </xdr:to>
    <xdr:pic>
      <xdr:nvPicPr>
        <xdr:cNvPr id="5" name="Imagen 4">
          <a:extLst>
            <a:ext uri="{FF2B5EF4-FFF2-40B4-BE49-F238E27FC236}">
              <a16:creationId xmlns:a16="http://schemas.microsoft.com/office/drawing/2014/main" id="{10F46050-0F2A-206A-FDB7-57E62C471BF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5294"/>
        <a:stretch/>
      </xdr:blipFill>
      <xdr:spPr>
        <a:xfrm>
          <a:off x="18468975" y="95249"/>
          <a:ext cx="1200150" cy="72939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1847849</xdr:colOff>
      <xdr:row>3</xdr:row>
      <xdr:rowOff>188716</xdr:rowOff>
    </xdr:to>
    <xdr:pic>
      <xdr:nvPicPr>
        <xdr:cNvPr id="3" name="Imagen 2">
          <a:extLst>
            <a:ext uri="{FF2B5EF4-FFF2-40B4-BE49-F238E27FC236}">
              <a16:creationId xmlns:a16="http://schemas.microsoft.com/office/drawing/2014/main" id="{E68C16C8-6393-C5DD-5D09-C2F8B87F435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8505824" cy="76021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495300</xdr:colOff>
      <xdr:row>4</xdr:row>
      <xdr:rowOff>43335</xdr:rowOff>
    </xdr:to>
    <xdr:pic>
      <xdr:nvPicPr>
        <xdr:cNvPr id="3" name="Imagen 2">
          <a:extLst>
            <a:ext uri="{FF2B5EF4-FFF2-40B4-BE49-F238E27FC236}">
              <a16:creationId xmlns:a16="http://schemas.microsoft.com/office/drawing/2014/main" id="{87BAC501-3D1E-9C26-0E59-988A3487601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78542"/>
        <a:stretch/>
      </xdr:blipFill>
      <xdr:spPr>
        <a:xfrm>
          <a:off x="0" y="0"/>
          <a:ext cx="1933575" cy="805335"/>
        </a:xfrm>
        <a:prstGeom prst="rect">
          <a:avLst/>
        </a:prstGeom>
      </xdr:spPr>
    </xdr:pic>
    <xdr:clientData/>
  </xdr:twoCellAnchor>
  <xdr:twoCellAnchor editAs="oneCell">
    <xdr:from>
      <xdr:col>11</xdr:col>
      <xdr:colOff>285750</xdr:colOff>
      <xdr:row>0</xdr:row>
      <xdr:rowOff>28575</xdr:rowOff>
    </xdr:from>
    <xdr:to>
      <xdr:col>12</xdr:col>
      <xdr:colOff>838199</xdr:colOff>
      <xdr:row>4</xdr:row>
      <xdr:rowOff>71910</xdr:rowOff>
    </xdr:to>
    <xdr:pic>
      <xdr:nvPicPr>
        <xdr:cNvPr id="4" name="Imagen 3">
          <a:extLst>
            <a:ext uri="{FF2B5EF4-FFF2-40B4-BE49-F238E27FC236}">
              <a16:creationId xmlns:a16="http://schemas.microsoft.com/office/drawing/2014/main" id="{8EE8A025-C861-4E32-B8CC-33049532059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5200" r="212"/>
        <a:stretch/>
      </xdr:blipFill>
      <xdr:spPr>
        <a:xfrm>
          <a:off x="11915775" y="28575"/>
          <a:ext cx="1314449" cy="80533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1016857</xdr:colOff>
      <xdr:row>4</xdr:row>
      <xdr:rowOff>119273</xdr:rowOff>
    </xdr:to>
    <xdr:pic>
      <xdr:nvPicPr>
        <xdr:cNvPr id="3" name="Imagen 2">
          <a:extLst>
            <a:ext uri="{FF2B5EF4-FFF2-40B4-BE49-F238E27FC236}">
              <a16:creationId xmlns:a16="http://schemas.microsoft.com/office/drawing/2014/main" id="{DA29644D-1574-07AD-8EC2-5CC3B5EC20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9975506" cy="89157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674481</xdr:colOff>
      <xdr:row>2</xdr:row>
      <xdr:rowOff>114300</xdr:rowOff>
    </xdr:to>
    <xdr:pic>
      <xdr:nvPicPr>
        <xdr:cNvPr id="5" name="Imagen 4">
          <a:extLst>
            <a:ext uri="{FF2B5EF4-FFF2-40B4-BE49-F238E27FC236}">
              <a16:creationId xmlns:a16="http://schemas.microsoft.com/office/drawing/2014/main" id="{25B77D56-0135-ACD5-B061-8E48733EFE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541756" cy="4953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laudia Milena Rodriguez Alvarez" id="{2462CBCE-97AB-4180-B057-9AC98E3BE7BF}" userId="S::cmrodriguez@mintic.gov.co::5e218516-3302-4eb0-977b-11f1aa582380" providerId="AD"/>
  <person displayName="Claudia Milena Rodriguez Alvarez" id="{9C370CB9-8FAF-41B7-ACE2-3A73AB08B987}" userId="S::ClaudiaRodriguez@supertransporte.gov.co::70af90f2-35f1-434f-88a7-d1bc45233e1b"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8" dT="2023-08-25T20:36:10.20" personId="{2462CBCE-97AB-4180-B057-9AC98E3BE7BF}" id="{B5B6759E-DDC1-4CD2-97E1-1C2BDFC35F88}">
    <text>Liste las personas que trabajaran en el levantamiento, análisis y construcción del PETI. Para cada persona identifique el rol que va a despeñar y el àrea a la que pertenece</text>
  </threadedComment>
</ThreadedComments>
</file>

<file path=xl/threadedComments/threadedComment2.xml><?xml version="1.0" encoding="utf-8"?>
<ThreadedComments xmlns="http://schemas.microsoft.com/office/spreadsheetml/2018/threadedcomments" xmlns:x="http://schemas.openxmlformats.org/spreadsheetml/2006/main">
  <threadedComment ref="C10" dT="2023-08-25T22:52:35.50" personId="{2462CBCE-97AB-4180-B057-9AC98E3BE7BF}" id="{A074A945-F438-484F-ADA9-3E7491594C08}">
    <text>Las actividades son de ejemplo, la entidad puede utilizarlas complementarlas o eliminar las que considere que no aplican</text>
  </threadedComment>
</ThreadedComments>
</file>

<file path=xl/threadedComments/threadedComment3.xml><?xml version="1.0" encoding="utf-8"?>
<ThreadedComments xmlns="http://schemas.microsoft.com/office/spreadsheetml/2018/threadedcomments" xmlns:x="http://schemas.openxmlformats.org/spreadsheetml/2006/main">
  <threadedComment ref="J7" dT="2023-08-28T20:33:52.37" personId="{2462CBCE-97AB-4180-B057-9AC98E3BE7BF}" id="{18A83D7B-2E8A-4AE7-9DAC-18DBF05574D7}">
    <text xml:space="preserve">Aquí se debe indicar los sistemas de información y aplicaciones </text>
  </threadedComment>
  <threadedComment ref="G8" dT="2023-08-28T20:34:50.77" personId="{2462CBCE-97AB-4180-B057-9AC98E3BE7BF}" id="{AB4DD725-A25B-4081-B18B-263B0ADAA7E3}">
    <text>Se debe indicar con una T, P, el sistema que apoya el proceso</text>
  </threadedComment>
</ThreadedComments>
</file>

<file path=xl/threadedComments/threadedComment4.xml><?xml version="1.0" encoding="utf-8"?>
<ThreadedComments xmlns="http://schemas.microsoft.com/office/spreadsheetml/2018/threadedcomments" xmlns:x="http://schemas.openxmlformats.org/spreadsheetml/2006/main">
  <threadedComment ref="T8" dT="2023-09-25T19:34:27.57" personId="{2462CBCE-97AB-4180-B057-9AC98E3BE7BF}" id="{50538820-CA89-459B-9812-D101080A231C}">
    <text>Indicar el nombre del canal</text>
  </threadedComment>
</ThreadedComments>
</file>

<file path=xl/threadedComments/threadedComment5.xml><?xml version="1.0" encoding="utf-8"?>
<ThreadedComments xmlns="http://schemas.microsoft.com/office/spreadsheetml/2018/threadedcomments" xmlns:x="http://schemas.openxmlformats.org/spreadsheetml/2006/main">
  <threadedComment ref="E6" dT="2023-08-29T20:42:49.06" personId="{2462CBCE-97AB-4180-B057-9AC98E3BE7BF}" id="{22BF39EE-4466-44DC-908B-9E52C3E0D473}">
    <text>Indicar si interna o externa</text>
  </threadedComment>
</ThreadedComments>
</file>

<file path=xl/threadedComments/threadedComment6.xml><?xml version="1.0" encoding="utf-8"?>
<ThreadedComments xmlns="http://schemas.microsoft.com/office/spreadsheetml/2018/threadedcomments" xmlns:x="http://schemas.openxmlformats.org/spreadsheetml/2006/main">
  <threadedComment ref="D7" dT="2023-08-29T21:18:00.97" personId="{2462CBCE-97AB-4180-B057-9AC98E3BE7BF}" id="{9387AE28-ED71-4F0B-9B8F-7082D8D2AD93}">
    <text xml:space="preserve">Indicar la obligacion o responsabilidad e indicar el articulo </text>
  </threadedComment>
</ThreadedComments>
</file>

<file path=xl/threadedComments/threadedComment7.xml><?xml version="1.0" encoding="utf-8"?>
<ThreadedComments xmlns="http://schemas.microsoft.com/office/spreadsheetml/2018/threadedcomments" xmlns:x="http://schemas.openxmlformats.org/spreadsheetml/2006/main">
  <threadedComment ref="E9" dT="2023-09-25T16:00:28.55" personId="{2462CBCE-97AB-4180-B057-9AC98E3BE7BF}" id="{02FF1250-2725-4B41-BD66-F1E206C460D0}">
    <text xml:space="preserve">Adicione servicios, tramites o proceso que puedan ser mejorados haciendo uso de la tecnología identificada en la fila. </text>
  </threadedComment>
  <threadedComment ref="A24" dT="2023-09-25T16:01:30.99" personId="{2462CBCE-97AB-4180-B057-9AC98E3BE7BF}" id="{92B34008-BC81-4F62-9F0B-74D5C5075DAA}">
    <text>Adiciones otras tecnologías emergentes o nuevas que puedan contribuir a la mejora del servicio, tramite con el proceso</text>
  </threadedComment>
</ThreadedComments>
</file>

<file path=xl/threadedComments/threadedComment8.xml><?xml version="1.0" encoding="utf-8"?>
<ThreadedComments xmlns="http://schemas.microsoft.com/office/spreadsheetml/2018/threadedcomments" xmlns:x="http://schemas.openxmlformats.org/spreadsheetml/2006/main">
  <threadedComment ref="D7" dT="2023-09-26T14:13:27.28" personId="{2462CBCE-97AB-4180-B057-9AC98E3BE7BF}" id="{BF8D7C81-2222-46FF-B1C3-A77B8EC2AD0E}">
    <text>Se recomienda que las acciones de crear se coloquen en letra verde, las de eliminar en letra rojo y las de modificar en letra azul</text>
  </threadedComment>
</ThreadedComments>
</file>

<file path=xl/threadedComments/threadedComment9.xml><?xml version="1.0" encoding="utf-8"?>
<ThreadedComments xmlns="http://schemas.microsoft.com/office/spreadsheetml/2018/threadedcomments" xmlns:x="http://schemas.openxmlformats.org/spreadsheetml/2006/main">
  <threadedComment ref="C8" dT="2020-11-10T23:31:01.26" personId="{9C370CB9-8FAF-41B7-ACE2-3A73AB08B987}" id="{632F6234-A4D8-419C-AD92-D7C336379A0B}">
    <text>eficiencia , calidad y eficacia</text>
  </threadedComment>
  <threadedComment ref="D8" dT="2023-09-26T03:04:43.93" personId="{2462CBCE-97AB-4180-B057-9AC98E3BE7BF}" id="{115114CF-2DEB-4685-A6D9-ED5D679D4333}">
    <text>Estrategico, de proyectos, de operación</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microsoft.com/office/2017/10/relationships/threadedComment" Target="../threadedComments/threadedComment6.xml"/><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0.xml"/><Relationship Id="rId1" Type="http://schemas.openxmlformats.org/officeDocument/2006/relationships/printerSettings" Target="../printerSettings/printerSettings10.bin"/><Relationship Id="rId5" Type="http://schemas.microsoft.com/office/2017/10/relationships/threadedComment" Target="../threadedComments/threadedComment7.xml"/><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2.xml"/><Relationship Id="rId1" Type="http://schemas.openxmlformats.org/officeDocument/2006/relationships/printerSettings" Target="../printerSettings/printerSettings12.bin"/><Relationship Id="rId5" Type="http://schemas.microsoft.com/office/2017/10/relationships/threadedComment" Target="../threadedComments/threadedComment8.xml"/><Relationship Id="rId4" Type="http://schemas.openxmlformats.org/officeDocument/2006/relationships/comments" Target="../comments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5.xml"/><Relationship Id="rId1" Type="http://schemas.openxmlformats.org/officeDocument/2006/relationships/printerSettings" Target="../printerSettings/printerSettings15.bin"/><Relationship Id="rId5" Type="http://schemas.microsoft.com/office/2017/10/relationships/threadedComment" Target="../threadedComments/threadedComment9.xml"/><Relationship Id="rId4" Type="http://schemas.openxmlformats.org/officeDocument/2006/relationships/comments" Target="../comments9.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6.xml"/><Relationship Id="rId1" Type="http://schemas.openxmlformats.org/officeDocument/2006/relationships/printerSettings" Target="../printerSettings/printerSettings16.bin"/><Relationship Id="rId4" Type="http://schemas.openxmlformats.org/officeDocument/2006/relationships/comments" Target="../comments10.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62B18-19EE-4DC4-AE9F-4EB85B6FFBD9}">
  <sheetPr>
    <pageSetUpPr fitToPage="1"/>
  </sheetPr>
  <dimension ref="A1:C30"/>
  <sheetViews>
    <sheetView showGridLines="0" zoomScale="130" zoomScaleNormal="130" workbookViewId="0">
      <selection activeCell="B11" sqref="B11"/>
    </sheetView>
  </sheetViews>
  <sheetFormatPr baseColWidth="10" defaultColWidth="11.42578125" defaultRowHeight="15" x14ac:dyDescent="0.25"/>
  <cols>
    <col min="1" max="1" width="15.85546875" style="10" customWidth="1"/>
    <col min="2" max="2" width="92.7109375" style="10" customWidth="1"/>
    <col min="3" max="3" width="53.28515625" style="10" customWidth="1"/>
  </cols>
  <sheetData>
    <row r="1" spans="1:3" ht="19.5" x14ac:dyDescent="0.25"/>
    <row r="2" spans="1:3" ht="19.5" x14ac:dyDescent="0.25"/>
    <row r="3" spans="1:3" ht="20.25" thickBot="1" x14ac:dyDescent="0.3"/>
    <row r="4" spans="1:3" s="16" customFormat="1" ht="19.5" customHeight="1" thickBot="1" x14ac:dyDescent="0.3">
      <c r="A4" s="14" t="s">
        <v>0</v>
      </c>
      <c r="B4" s="15" t="s">
        <v>233</v>
      </c>
      <c r="C4" s="10"/>
    </row>
    <row r="5" spans="1:3" ht="16.5" customHeight="1" thickTop="1" x14ac:dyDescent="0.25">
      <c r="A5" s="161" t="s">
        <v>234</v>
      </c>
      <c r="B5" s="159" t="s">
        <v>235</v>
      </c>
    </row>
    <row r="6" spans="1:3" ht="9" customHeight="1" thickBot="1" x14ac:dyDescent="0.3">
      <c r="A6" s="162"/>
      <c r="B6" s="160"/>
    </row>
    <row r="7" spans="1:3" ht="25.5" customHeight="1" thickBot="1" x14ac:dyDescent="0.3">
      <c r="A7" s="162"/>
      <c r="B7" s="11" t="s">
        <v>236</v>
      </c>
    </row>
    <row r="8" spans="1:3" ht="19.5" customHeight="1" thickBot="1" x14ac:dyDescent="0.3">
      <c r="A8" s="163"/>
      <c r="B8" s="11" t="s">
        <v>237</v>
      </c>
    </row>
    <row r="9" spans="1:3" ht="19.5" customHeight="1" thickBot="1" x14ac:dyDescent="0.3">
      <c r="A9" s="164" t="s">
        <v>238</v>
      </c>
      <c r="B9" s="11" t="s">
        <v>239</v>
      </c>
    </row>
    <row r="10" spans="1:3" ht="18" customHeight="1" thickBot="1" x14ac:dyDescent="0.3">
      <c r="A10" s="162"/>
      <c r="B10" s="11" t="s">
        <v>240</v>
      </c>
    </row>
    <row r="11" spans="1:3" ht="19.5" customHeight="1" thickBot="1" x14ac:dyDescent="0.3">
      <c r="A11" s="162"/>
      <c r="B11" s="11" t="s">
        <v>410</v>
      </c>
    </row>
    <row r="12" spans="1:3" ht="19.5" customHeight="1" thickBot="1" x14ac:dyDescent="0.3">
      <c r="A12" s="162"/>
      <c r="B12" s="11" t="s">
        <v>411</v>
      </c>
    </row>
    <row r="13" spans="1:3" ht="19.5" customHeight="1" thickBot="1" x14ac:dyDescent="0.3">
      <c r="A13" s="164" t="s">
        <v>241</v>
      </c>
      <c r="B13" s="11" t="s">
        <v>412</v>
      </c>
    </row>
    <row r="14" spans="1:3" ht="19.5" customHeight="1" thickBot="1" x14ac:dyDescent="0.3">
      <c r="A14" s="162"/>
      <c r="B14" s="11" t="s">
        <v>413</v>
      </c>
    </row>
    <row r="15" spans="1:3" ht="19.5" customHeight="1" thickBot="1" x14ac:dyDescent="0.3">
      <c r="A15" s="162"/>
      <c r="B15" s="11" t="s">
        <v>414</v>
      </c>
    </row>
    <row r="16" spans="1:3" ht="19.5" customHeight="1" thickBot="1" x14ac:dyDescent="0.3">
      <c r="A16" s="162"/>
      <c r="B16" s="11" t="s">
        <v>415</v>
      </c>
    </row>
    <row r="17" spans="1:3" ht="19.5" customHeight="1" thickBot="1" x14ac:dyDescent="0.3">
      <c r="A17" s="162"/>
      <c r="B17" s="11" t="s">
        <v>416</v>
      </c>
      <c r="C17" s="13"/>
    </row>
    <row r="18" spans="1:3" ht="19.5" customHeight="1" thickBot="1" x14ac:dyDescent="0.3">
      <c r="A18" s="162"/>
      <c r="B18" s="11" t="s">
        <v>242</v>
      </c>
    </row>
    <row r="19" spans="1:3" ht="19.5" customHeight="1" thickBot="1" x14ac:dyDescent="0.3">
      <c r="A19" s="162"/>
      <c r="B19" s="11" t="s">
        <v>417</v>
      </c>
    </row>
    <row r="20" spans="1:3" ht="19.5" customHeight="1" thickBot="1" x14ac:dyDescent="0.3">
      <c r="A20" s="163"/>
      <c r="B20" s="11" t="s">
        <v>418</v>
      </c>
    </row>
    <row r="21" spans="1:3" ht="19.5" customHeight="1" thickBot="1" x14ac:dyDescent="0.3">
      <c r="A21" s="164" t="s">
        <v>243</v>
      </c>
      <c r="B21" s="11" t="s">
        <v>419</v>
      </c>
    </row>
    <row r="22" spans="1:3" ht="19.5" customHeight="1" thickBot="1" x14ac:dyDescent="0.3">
      <c r="A22" s="163"/>
      <c r="B22" s="11" t="s">
        <v>420</v>
      </c>
    </row>
    <row r="23" spans="1:3" ht="19.5" customHeight="1" x14ac:dyDescent="0.25"/>
    <row r="24" spans="1:3" ht="19.5" customHeight="1" x14ac:dyDescent="0.25"/>
    <row r="25" spans="1:3" ht="18" customHeight="1" x14ac:dyDescent="0.25"/>
    <row r="26" spans="1:3" ht="33" customHeight="1" x14ac:dyDescent="0.25"/>
    <row r="27" spans="1:3" ht="34.9" customHeight="1" x14ac:dyDescent="0.25"/>
    <row r="28" spans="1:3" ht="17.45" customHeight="1" x14ac:dyDescent="0.25"/>
    <row r="29" spans="1:3" ht="34.9" customHeight="1" x14ac:dyDescent="0.25"/>
    <row r="30" spans="1:3" ht="18" customHeight="1" x14ac:dyDescent="0.25"/>
  </sheetData>
  <mergeCells count="5">
    <mergeCell ref="B5:B6"/>
    <mergeCell ref="A5:A8"/>
    <mergeCell ref="A9:A12"/>
    <mergeCell ref="A13:A20"/>
    <mergeCell ref="A21:A22"/>
  </mergeCells>
  <pageMargins left="0.70866141732283472" right="0.70866141732283472" top="0.74803149606299213" bottom="0.74803149606299213" header="0.31496062992125984" footer="0.31496062992125984"/>
  <pageSetup scale="83"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CF081-06D9-4AA8-808D-0A2BE5FEB4DD}">
  <dimension ref="A8:G25"/>
  <sheetViews>
    <sheetView showGridLines="0" workbookViewId="0">
      <selection activeCell="B24" sqref="B24:C24"/>
    </sheetView>
  </sheetViews>
  <sheetFormatPr baseColWidth="10" defaultColWidth="11.42578125" defaultRowHeight="15" x14ac:dyDescent="0.25"/>
  <cols>
    <col min="1" max="1" width="19" customWidth="1"/>
    <col min="2" max="2" width="25.140625" customWidth="1"/>
    <col min="3" max="3" width="16.28515625" customWidth="1"/>
    <col min="4" max="4" width="38.7109375" customWidth="1"/>
    <col min="5" max="5" width="23.85546875" customWidth="1"/>
    <col min="6" max="6" width="17" customWidth="1"/>
    <col min="7" max="7" width="41.42578125" customWidth="1"/>
    <col min="10" max="10" width="28.140625" customWidth="1"/>
  </cols>
  <sheetData>
    <row r="8" spans="1:7" ht="15.75" customHeight="1" thickBot="1" x14ac:dyDescent="0.3">
      <c r="A8" s="169" t="s">
        <v>244</v>
      </c>
      <c r="B8" s="169"/>
      <c r="C8" s="169"/>
      <c r="D8" s="169"/>
      <c r="E8" s="169"/>
      <c r="F8" s="169"/>
    </row>
    <row r="9" spans="1:7" ht="42" customHeight="1" x14ac:dyDescent="0.25">
      <c r="A9" s="19" t="s">
        <v>2</v>
      </c>
      <c r="B9" s="170" t="s">
        <v>246</v>
      </c>
      <c r="C9" s="171"/>
      <c r="D9" s="20" t="s">
        <v>245</v>
      </c>
      <c r="E9" s="20" t="s">
        <v>249</v>
      </c>
      <c r="F9" s="20" t="s">
        <v>250</v>
      </c>
      <c r="G9" s="21" t="s">
        <v>251</v>
      </c>
    </row>
    <row r="10" spans="1:7" x14ac:dyDescent="0.25">
      <c r="A10" s="22" t="inlineStr">
        <is>
          <t xml:space="preserve">Equipo académico del PETI (rol del área de TI)</t>
        </is>
      </c>
      <c r="B10" s="165" t="inlineStr">
        <is>
          <t xml:space="preserve">Hannyer Arce Ararat</t>
        </is>
      </c>
      <c r="C10" s="166"/>
      <c r="D10" s="24" t="inlineStr">
        <is>
          <t xml:space="preserve">Líder y coordinador. Actividades 1, 2, 3, 15, 16 y 17</t>
        </is>
      </c>
      <c r="E10" s="25" t="inlineStr">
        <is>
          <t xml:space="preserve">No se publica</t>
        </is>
      </c>
      <c r="F10" s="25" t="inlineStr">
        <is>
          <t xml:space="preserve">No se publica</t>
        </is>
      </c>
      <c r="G10" s="26" t="inlineStr">
        <is>
          <t xml:space="preserve">No: equipo académico externo a la organización</t>
        </is>
      </c>
    </row>
    <row r="11" spans="1:7" x14ac:dyDescent="0.25">
      <c r="A11" s="22" t="inlineStr">
        <is>
          <t xml:space="preserve">Equipo académico del PETI (rol del área de TI)</t>
        </is>
      </c>
      <c r="B11" s="165" t="inlineStr">
        <is>
          <t xml:space="preserve">Kevin Steven Tabares Blanco</t>
        </is>
      </c>
      <c r="C11" s="166"/>
      <c r="D11" s="24" t="inlineStr">
        <is>
          <t xml:space="preserve">Contexto y normatividad. Actividades 4 y 5</t>
        </is>
      </c>
      <c r="E11" s="25" t="inlineStr">
        <is>
          <t xml:space="preserve">No se publica</t>
        </is>
      </c>
      <c r="F11" s="25" t="inlineStr">
        <is>
          <t xml:space="preserve">No se publica</t>
        </is>
      </c>
      <c r="G11" s="26" t="inlineStr">
        <is>
          <t xml:space="preserve">No: equipo académico externo a la organización</t>
        </is>
      </c>
    </row>
    <row r="12" spans="1:7" x14ac:dyDescent="0.25">
      <c r="A12" s="22" t="inlineStr">
        <is>
          <t xml:space="preserve">Equipo académico del PETI (rol del área de TI)</t>
        </is>
      </c>
      <c r="B12" s="165" t="inlineStr">
        <is>
          <t xml:space="preserve">Raul Guillermo Orobio Ospina</t>
        </is>
      </c>
      <c r="C12" s="166"/>
      <c r="D12" s="24" t="inlineStr">
        <is>
          <t xml:space="preserve">Diagnóstico de estrategia, gobierno e información; evidencia. Actividades 6</t>
        </is>
      </c>
      <c r="E12" s="25" t="inlineStr">
        <is>
          <t xml:space="preserve">No se publica</t>
        </is>
      </c>
      <c r="F12" s="25" t="inlineStr">
        <is>
          <t xml:space="preserve">No se publica</t>
        </is>
      </c>
      <c r="G12" s="26" t="inlineStr">
        <is>
          <t xml:space="preserve">No: equipo académico externo a la organización</t>
        </is>
      </c>
    </row>
    <row r="13" spans="1:7" x14ac:dyDescent="0.25">
      <c r="A13" s="22" t="inlineStr">
        <is>
          <t xml:space="preserve">Equipo académico del PETI (rol del área de TI)</t>
        </is>
      </c>
      <c r="B13" s="165" t="inlineStr">
        <is>
          <t xml:space="preserve">Ever Jonatan Delgado Chaguendo</t>
        </is>
      </c>
      <c r="C13" s="166"/>
      <c r="D13" s="24" t="inlineStr">
        <is>
          <t xml:space="preserve">Diagnóstico de sistemas, infraestructura, uso y seguridad; arquitectura. Actividades 6 y 7</t>
        </is>
      </c>
      <c r="E13" s="25" t="inlineStr">
        <is>
          <t xml:space="preserve">No se publica</t>
        </is>
      </c>
      <c r="F13" s="25" t="inlineStr">
        <is>
          <t xml:space="preserve">No se publica</t>
        </is>
      </c>
      <c r="G13" s="26" t="inlineStr">
        <is>
          <t xml:space="preserve">No: equipo académico externo a la organización</t>
        </is>
      </c>
    </row>
    <row r="14" spans="1:7" x14ac:dyDescent="0.25">
      <c r="A14" s="22" t="inlineStr">
        <is>
          <t xml:space="preserve">Equipo académico del PETI (rol del área de TI)</t>
        </is>
      </c>
      <c r="B14" s="165" t="inlineStr">
        <is>
          <t xml:space="preserve">Juan Jose Muñoz</t>
        </is>
      </c>
      <c r="C14" s="166"/>
      <c r="D14" s="24" t="inlineStr">
        <is>
          <t xml:space="preserve">Situación objetivo y brechas. Actividades 8 a 12</t>
        </is>
      </c>
      <c r="E14" s="25" t="inlineStr">
        <is>
          <t xml:space="preserve">No se publica</t>
        </is>
      </c>
      <c r="F14" s="25" t="inlineStr">
        <is>
          <t xml:space="preserve">No se publica</t>
        </is>
      </c>
      <c r="G14" s="26" t="inlineStr">
        <is>
          <t xml:space="preserve">No: equipo académico externo a la organización</t>
        </is>
      </c>
    </row>
    <row r="15" spans="1:7" thickBot="1" x14ac:dyDescent="0.3">
      <c r="A15" s="23" t="inlineStr">
        <is>
          <t xml:space="preserve">Equipo académico del PETI (rol del área de TI)</t>
        </is>
      </c>
      <c r="B15" s="167" t="inlineStr">
        <is>
          <t xml:space="preserve">Luis Fernando Narvaes Marin</t>
        </is>
      </c>
      <c r="C15" s="168"/>
      <c r="D15" s="27" t="inlineStr">
        <is>
          <t xml:space="preserve">Portafolio, indicadores y riesgos. Actividades 13 y 14</t>
        </is>
      </c>
      <c r="E15" s="28" t="inlineStr">
        <is>
          <t xml:space="preserve">No se publica</t>
        </is>
      </c>
      <c r="F15" s="28" t="inlineStr">
        <is>
          <t xml:space="preserve">No se publica</t>
        </is>
      </c>
      <c r="G15" s="29" t="inlineStr">
        <is>
          <t xml:space="preserve">No: equipo académico externo a la organización</t>
        </is>
      </c>
    </row>
    <row r="18" spans="1:6" ht="15.75" customHeight="1" thickBot="1" x14ac:dyDescent="0.3">
      <c r="A18" s="174" t="s">
        <v>247</v>
      </c>
      <c r="B18" s="169"/>
      <c r="C18" s="169"/>
      <c r="D18" s="169"/>
      <c r="E18" s="169"/>
      <c r="F18" s="169"/>
    </row>
    <row r="19" spans="1:6" ht="31.5" x14ac:dyDescent="0.25">
      <c r="A19" s="19" t="s">
        <v>2</v>
      </c>
      <c r="B19" s="175" t="s">
        <v>246</v>
      </c>
      <c r="C19" s="175"/>
      <c r="D19" s="20" t="s">
        <v>248</v>
      </c>
      <c r="E19" s="20" t="s">
        <v>249</v>
      </c>
      <c r="F19" s="21" t="s">
        <v>250</v>
      </c>
    </row>
    <row r="20" spans="1:6" x14ac:dyDescent="0.25">
      <c r="A20" s="22" t="inlineStr">
        <is>
          <t xml:space="preserve">Gerencia General</t>
        </is>
      </c>
      <c r="B20" s="172" t="inlineStr">
        <is>
          <t xml:space="preserve">Rol: Patrocinador (no se nombran personas)</t>
        </is>
      </c>
      <c r="C20" s="172"/>
      <c r="D20" s="24" t="inlineStr">
        <is>
          <t xml:space="preserve">Respaldo, presupuesto y presidencia del Comité de TI. Capacidad de decisión: Alta</t>
        </is>
      </c>
      <c r="E20" s="25" t="inlineStr">
        <is>
          <t xml:space="preserve">No aplica</t>
        </is>
      </c>
      <c r="F20" s="26" t="inlineStr">
        <is>
          <t xml:space="preserve">No aplica</t>
        </is>
      </c>
    </row>
    <row r="21" spans="1:6" x14ac:dyDescent="0.25">
      <c r="A21" s="22" t="inlineStr">
        <is>
          <t xml:space="preserve">Comité Institucional de Gestión y Desempeño</t>
        </is>
      </c>
      <c r="B21" s="172" t="inlineStr">
        <is>
          <t xml:space="preserve">Rol: Instancia de aprobación (no se nombran personas)</t>
        </is>
      </c>
      <c r="C21" s="172"/>
      <c r="D21" s="24" t="inlineStr">
        <is>
          <t xml:space="preserve">Aprobación del PETI y seguimiento semestral. Capacidad de decisión: Alta</t>
        </is>
      </c>
      <c r="E21" s="25" t="inlineStr">
        <is>
          <t xml:space="preserve">No aplica</t>
        </is>
      </c>
      <c r="F21" s="26" t="inlineStr">
        <is>
          <t xml:space="preserve">No aplica</t>
        </is>
      </c>
    </row>
    <row r="22" spans="1:6" x14ac:dyDescent="0.25">
      <c r="A22" s="22" t="inlineStr">
        <is>
          <t xml:space="preserve">Gerencia de Tecnología, Innovación y Sostenibilidad</t>
        </is>
      </c>
      <c r="B22" s="172" t="inlineStr">
        <is>
          <t xml:space="preserve">Rol: Responsable del plan (no se nombran personas)</t>
        </is>
      </c>
      <c r="C22" s="172"/>
      <c r="D22" s="24" t="inlineStr">
        <is>
          <t xml:space="preserve">Formulación, ejecución y seguimiento. Capacidad de decisión: Media</t>
        </is>
      </c>
      <c r="E22" s="25" t="inlineStr">
        <is>
          <t xml:space="preserve">No aplica</t>
        </is>
      </c>
      <c r="F22" s="26" t="inlineStr">
        <is>
          <t xml:space="preserve">No aplica</t>
        </is>
      </c>
    </row>
    <row r="23" spans="1:6" x14ac:dyDescent="0.25">
      <c r="A23" s="22" t="inlineStr">
        <is>
          <t xml:space="preserve">Dirección de Planeación y Proyectos (PMO)</t>
        </is>
      </c>
      <c r="B23" s="172" t="inlineStr">
        <is>
          <t xml:space="preserve">Rol: Gestión de proyectos (no se nombran personas)</t>
        </is>
      </c>
      <c r="C23" s="172"/>
      <c r="D23" s="24" t="inlineStr">
        <is>
          <t xml:space="preserve">Metodología y seguimiento del portafolio. Capacidad de decisión: Media</t>
        </is>
      </c>
      <c r="E23" s="25" t="inlineStr">
        <is>
          <t xml:space="preserve">No aplica</t>
        </is>
      </c>
      <c r="F23" s="26" t="inlineStr">
        <is>
          <t xml:space="preserve">No aplica</t>
        </is>
      </c>
    </row>
    <row r="24" spans="1:6" x14ac:dyDescent="0.25">
      <c r="A24" s="22" t="inlineStr">
        <is>
          <t xml:space="preserve">Gerencia Financiera</t>
        </is>
      </c>
      <c r="B24" s="172" t="inlineStr">
        <is>
          <t xml:space="preserve">Rol: Validación financiera (no se nombran personas)</t>
        </is>
      </c>
      <c r="C24" s="172"/>
      <c r="D24" s="24" t="inlineStr">
        <is>
          <t xml:space="preserve">Validación de costos y presupuesto de TI. Capacidad de decisión: Media</t>
        </is>
      </c>
      <c r="E24" s="25" t="inlineStr">
        <is>
          <t xml:space="preserve">No aplica</t>
        </is>
      </c>
      <c r="F24" s="26" t="inlineStr">
        <is>
          <t xml:space="preserve">No aplica</t>
        </is>
      </c>
    </row>
    <row r="25" spans="1:6" thickBot="1" x14ac:dyDescent="0.3">
      <c r="A25" s="23" t="inlineStr">
        <is>
          <t xml:space="preserve">Gerencia de Operaciones, Dirección Comercial, Secretaría General</t>
        </is>
      </c>
      <c r="B25" s="173" t="inlineStr">
        <is>
          <t xml:space="preserve">Rol: Dueños de procesos y de datos (no se nombran personas)</t>
        </is>
      </c>
      <c r="C25" s="173"/>
      <c r="D25" s="27" t="inlineStr">
        <is>
          <t xml:space="preserve">Requisitos y responsables de datos. Capacidad de decisión: Media, en sus procesos</t>
        </is>
      </c>
      <c r="E25" s="28" t="inlineStr">
        <is>
          <t xml:space="preserve">No aplica</t>
        </is>
      </c>
      <c r="F25" s="29" t="inlineStr">
        <is>
          <t xml:space="preserve">No aplica</t>
        </is>
      </c>
    </row>
    <row r="26">
      <c r="A26" s="23" t="inlineStr">
        <is>
          <t xml:space="preserve">Oficina de Control Interno</t>
        </is>
      </c>
      <c r="B26" s="173" t="inlineStr">
        <is>
          <t xml:space="preserve">Rol: Aseguramiento (no se nombran personas)</t>
        </is>
      </c>
      <c r="C26" s="173"/>
      <c r="D26" s="27" t="inlineStr">
        <is>
          <t xml:space="preserve">Auditoría del avance. Capacidad de decisión: Baja: evalúa, no decide</t>
        </is>
      </c>
      <c r="E26" s="28" t="inlineStr">
        <is>
          <t xml:space="preserve">No aplica</t>
        </is>
      </c>
      <c r="F26" s="29" t="inlineStr">
        <is>
          <t xml:space="preserve">No aplica</t>
        </is>
      </c>
    </row>
  </sheetData>
  <mergeCells count="17">
    <mergeCell ref="B23:C23"/>
    <mergeCell ref="B24:C24"/>
    <mergeCell ref="B25:C25"/>
    <mergeCell ref="A18:F18"/>
    <mergeCell ref="B19:C19"/>
    <mergeCell ref="B20:C20"/>
    <mergeCell ref="B21:C21"/>
    <mergeCell ref="B22:C22"/>
    <mergeCell ref="B14:C14"/>
    <mergeCell ref="B15:C15"/>
    <mergeCell ref="A8:F8"/>
    <mergeCell ref="B9:C9"/>
    <mergeCell ref="B10:C10"/>
    <mergeCell ref="B11:C11"/>
    <mergeCell ref="B12:C12"/>
    <mergeCell ref="B13:C13"/>
    <mergeCell ref="B26:C26"/>
  </mergeCells>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DC765-5AE0-4E8C-8DAE-FB9DF9E06CEC}">
  <sheetPr>
    <pageSetUpPr fitToPage="1"/>
  </sheetPr>
  <dimension ref="A7:R39"/>
  <sheetViews>
    <sheetView showGridLines="0" tabSelected="1" zoomScaleNormal="100" workbookViewId="0">
      <selection activeCell="C12" sqref="C12"/>
    </sheetView>
  </sheetViews>
  <sheetFormatPr baseColWidth="10" defaultColWidth="11.42578125" defaultRowHeight="15" x14ac:dyDescent="0.25"/>
  <cols>
    <col min="1" max="1" width="17.7109375" customWidth="1"/>
    <col min="3" max="3" width="56" customWidth="1"/>
    <col min="4" max="6" width="31.28515625" customWidth="1"/>
    <col min="7" max="8" width="2.85546875" customWidth="1"/>
    <col min="9" max="9" width="3.5703125" customWidth="1"/>
    <col min="10" max="10" width="2.85546875" customWidth="1"/>
    <col min="11" max="11" width="3.5703125" customWidth="1"/>
    <col min="12" max="18" width="2.85546875" customWidth="1"/>
    <col min="19" max="88" width="3.5703125" customWidth="1"/>
  </cols>
  <sheetData>
    <row r="7" spans="1:18" ht="15.75" thickBot="1" x14ac:dyDescent="0.3"/>
    <row r="8" spans="1:18" ht="20.25" x14ac:dyDescent="0.45">
      <c r="A8" s="178" t="s">
        <v>233</v>
      </c>
      <c r="B8" s="179"/>
      <c r="C8" s="179"/>
      <c r="D8" s="179"/>
      <c r="E8" s="179"/>
      <c r="F8" s="180"/>
      <c r="G8" s="179" t="s">
        <v>257</v>
      </c>
      <c r="H8" s="179"/>
      <c r="I8" s="179"/>
      <c r="J8" s="179"/>
      <c r="K8" s="179"/>
      <c r="L8" s="179"/>
      <c r="M8" s="179"/>
      <c r="N8" s="179"/>
      <c r="O8" s="179"/>
      <c r="P8" s="179"/>
      <c r="Q8" s="179"/>
      <c r="R8" s="183"/>
    </row>
    <row r="9" spans="1:18" x14ac:dyDescent="0.45">
      <c r="A9" s="41"/>
      <c r="B9" s="30"/>
      <c r="C9" s="30"/>
      <c r="D9" s="30"/>
      <c r="E9" s="30"/>
      <c r="F9" s="38"/>
      <c r="G9" s="181" t="inlineStr">
        <is>
          <t xml:space="preserve">2026</t>
        </is>
      </c>
      <c r="H9" s="181"/>
      <c r="I9" s="181"/>
      <c r="J9" s="181"/>
      <c r="K9" s="181"/>
      <c r="L9" s="181"/>
      <c r="M9" s="181"/>
      <c r="N9" s="181"/>
      <c r="O9" s="181"/>
      <c r="P9" s="181"/>
      <c r="Q9" s="181"/>
      <c r="R9" s="182"/>
    </row>
    <row r="10" spans="1:18" s="2" customFormat="1" ht="20.25" x14ac:dyDescent="0.45">
      <c r="A10" s="42" t="s">
        <v>252</v>
      </c>
      <c r="B10" s="31" t="s">
        <v>20</v>
      </c>
      <c r="C10" s="30" t="s">
        <v>233</v>
      </c>
      <c r="D10" s="30" t="s">
        <v>256</v>
      </c>
      <c r="E10" s="30" t="s">
        <v>217</v>
      </c>
      <c r="F10" s="38" t="s">
        <v>258</v>
      </c>
      <c r="G10" s="30" t="s">
        <v>210</v>
      </c>
      <c r="H10" s="30" t="s">
        <v>211</v>
      </c>
      <c r="I10" s="30" t="s">
        <v>212</v>
      </c>
      <c r="J10" s="30" t="s">
        <v>205</v>
      </c>
      <c r="K10" s="30" t="s">
        <v>212</v>
      </c>
      <c r="L10" s="30" t="s">
        <v>204</v>
      </c>
      <c r="M10" s="30" t="s">
        <v>204</v>
      </c>
      <c r="N10" s="30" t="s">
        <v>205</v>
      </c>
      <c r="O10" s="30" t="s">
        <v>206</v>
      </c>
      <c r="P10" s="30" t="s">
        <v>207</v>
      </c>
      <c r="Q10" s="30" t="s">
        <v>208</v>
      </c>
      <c r="R10" s="43" t="s">
        <v>209</v>
      </c>
    </row>
    <row r="11" spans="1:18" x14ac:dyDescent="0.45">
      <c r="A11" s="176" t="s">
        <v>253</v>
      </c>
      <c r="B11" s="32">
        <v>1</v>
      </c>
      <c r="C11" s="33" t="s">
        <v>259</v>
      </c>
      <c r="D11" s="34" t="inlineStr">
        <is>
          <t xml:space="preserve">5 de octubre de 2026</t>
        </is>
      </c>
      <c r="E11" s="34" t="inlineStr">
        <is>
          <t xml:space="preserve">Kevin Steven Tabares Blanco</t>
        </is>
      </c>
      <c r="F11" s="34" t="inlineStr">
        <is>
          <t xml:space="preserve">Contexto y modelo operativo (numeral 5)</t>
        </is>
      </c>
      <c r="G11" s="39"/>
      <c r="H11" s="39"/>
      <c r="I11" s="39"/>
      <c r="J11" s="39"/>
      <c r="K11" s="40"/>
      <c r="L11" s="40"/>
      <c r="M11" s="40"/>
      <c r="N11" s="40"/>
      <c r="O11" s="40"/>
      <c r="P11" s="40" t="inlineStr">
        <is>
          <t xml:space="preserve">X</t>
        </is>
      </c>
      <c r="Q11" s="40"/>
      <c r="R11" s="44"/>
    </row>
    <row r="12" spans="1:18" x14ac:dyDescent="0.45">
      <c r="A12" s="176"/>
      <c r="B12" s="32" t="s">
        <v>272</v>
      </c>
      <c r="C12" s="33" t="s">
        <v>271</v>
      </c>
      <c r="D12" s="34" t="inlineStr">
        <is>
          <t xml:space="preserve">5 de octubre de 2026</t>
        </is>
      </c>
      <c r="E12" s="34" t="inlineStr">
        <is>
          <t xml:space="preserve">Kevin Steven Tabares Blanco</t>
        </is>
      </c>
      <c r="F12" s="34" t="inlineStr">
        <is>
          <t xml:space="preserve">Mapa de procesos y alineación de TI con los procesos (numeral 5.1)</t>
        </is>
      </c>
      <c r="G12" s="39"/>
      <c r="H12" s="39"/>
      <c r="I12" s="39"/>
      <c r="J12" s="39"/>
      <c r="K12" s="40"/>
      <c r="L12" s="40"/>
      <c r="M12" s="40"/>
      <c r="N12" s="40"/>
      <c r="O12" s="40"/>
      <c r="P12" s="40" t="inlineStr">
        <is>
          <t xml:space="preserve">X</t>
        </is>
      </c>
      <c r="Q12" s="40"/>
      <c r="R12" s="44"/>
    </row>
    <row r="13" spans="1:18" x14ac:dyDescent="0.45">
      <c r="A13" s="176"/>
      <c r="B13" s="32" t="s">
        <v>273</v>
      </c>
      <c r="C13" s="33" t="s">
        <v>274</v>
      </c>
      <c r="D13" s="34" t="inlineStr">
        <is>
          <t xml:space="preserve">5 de octubre de 2026</t>
        </is>
      </c>
      <c r="E13" s="34" t="inlineStr">
        <is>
          <t xml:space="preserve">Kevin Steven Tabares Blanco</t>
        </is>
      </c>
      <c r="F13" s="34" t="inlineStr">
        <is>
          <t xml:space="preserve">Marco normativo (numeral 3)</t>
        </is>
      </c>
      <c r="G13" s="39"/>
      <c r="H13" s="39"/>
      <c r="I13" s="39"/>
      <c r="J13" s="39"/>
      <c r="K13" s="40"/>
      <c r="L13" s="40"/>
      <c r="M13" s="40"/>
      <c r="N13" s="40"/>
      <c r="O13" s="40"/>
      <c r="P13" s="40" t="inlineStr">
        <is>
          <t xml:space="preserve">X</t>
        </is>
      </c>
      <c r="Q13" s="40"/>
      <c r="R13" s="44"/>
    </row>
    <row r="14" spans="1:18" x14ac:dyDescent="0.45">
      <c r="A14" s="176"/>
      <c r="B14" s="35">
        <v>2</v>
      </c>
      <c r="C14" s="33" t="s">
        <v>260</v>
      </c>
      <c r="D14" s="36" t="inlineStr">
        <is>
          <t xml:space="preserve">5 de octubre de 2026</t>
        </is>
      </c>
      <c r="E14" s="36" t="inlineStr">
        <is>
          <t xml:space="preserve">Kevin Steven Tabares Blanco</t>
        </is>
      </c>
      <c r="F14" s="36" t="inlineStr">
        <is>
          <t xml:space="preserve">Motivadores estratégicos (numeral 5)</t>
        </is>
      </c>
      <c r="G14" s="39"/>
      <c r="H14" s="39"/>
      <c r="I14" s="39"/>
      <c r="J14" s="39"/>
      <c r="K14" s="39"/>
      <c r="L14" s="39"/>
      <c r="M14" s="39"/>
      <c r="N14" s="39"/>
      <c r="O14" s="40"/>
      <c r="P14" s="40" t="inlineStr">
        <is>
          <t xml:space="preserve">X</t>
        </is>
      </c>
      <c r="Q14" s="40"/>
      <c r="R14" s="44"/>
    </row>
    <row r="15" spans="1:18" x14ac:dyDescent="0.45">
      <c r="A15" s="176"/>
      <c r="B15" s="35" t="s">
        <v>276</v>
      </c>
      <c r="C15" s="33" t="s">
        <v>275</v>
      </c>
      <c r="D15" s="36" t="inlineStr">
        <is>
          <t xml:space="preserve">5 de octubre de 2026</t>
        </is>
      </c>
      <c r="E15" s="36" t="inlineStr">
        <is>
          <t xml:space="preserve">Kevin Steven Tabares Blanco</t>
        </is>
      </c>
      <c r="F15" s="36" t="inlineStr">
        <is>
          <t xml:space="preserve">Compromisos con plazo CE-01 a CE-10 (hoja Actividad 5)</t>
        </is>
      </c>
      <c r="G15" s="39"/>
      <c r="H15" s="39"/>
      <c r="I15" s="39"/>
      <c r="J15" s="39"/>
      <c r="K15" s="39"/>
      <c r="L15" s="39"/>
      <c r="M15" s="39"/>
      <c r="N15" s="39"/>
      <c r="O15" s="40"/>
      <c r="P15" s="40" t="inlineStr">
        <is>
          <t xml:space="preserve">X</t>
        </is>
      </c>
      <c r="Q15" s="40"/>
      <c r="R15" s="44"/>
    </row>
    <row r="16" spans="1:18" x14ac:dyDescent="0.45">
      <c r="A16" s="176"/>
      <c r="B16" s="32">
        <v>3</v>
      </c>
      <c r="C16" s="33" t="s">
        <v>261</v>
      </c>
      <c r="D16" s="34" t="inlineStr">
        <is>
          <t xml:space="preserve">5 de octubre de 2026</t>
        </is>
      </c>
      <c r="E16" s="34" t="inlineStr">
        <is>
          <t xml:space="preserve">Kevin Steven Tabares Blanco</t>
        </is>
      </c>
      <c r="F16" s="34" t="inlineStr">
        <is>
          <t xml:space="preserve">Servicios de negocio; trámites y OPA no aplican (numerales 5.1.6 a 5.1.8)</t>
        </is>
      </c>
      <c r="G16" s="39"/>
      <c r="H16" s="39"/>
      <c r="I16" s="39"/>
      <c r="J16" s="40"/>
      <c r="K16" s="40"/>
      <c r="L16" s="40"/>
      <c r="M16" s="40"/>
      <c r="N16" s="40"/>
      <c r="O16" s="40"/>
      <c r="P16" s="40" t="inlineStr">
        <is>
          <t xml:space="preserve">X</t>
        </is>
      </c>
      <c r="Q16" s="40"/>
      <c r="R16" s="44"/>
    </row>
    <row r="17" spans="1:18" x14ac:dyDescent="0.45">
      <c r="A17" s="176"/>
      <c r="B17" s="35">
        <v>4</v>
      </c>
      <c r="C17" s="33" t="s">
        <v>262</v>
      </c>
      <c r="D17" s="37" t="inlineStr">
        <is>
          <t xml:space="preserve">5 de octubre de 2026</t>
        </is>
      </c>
      <c r="E17" s="37" t="inlineStr">
        <is>
          <t xml:space="preserve">Raul Guillermo Orobio Ospina</t>
        </is>
      </c>
      <c r="F17" s="37" t="inlineStr">
        <is>
          <t xml:space="preserve">Situación actual de los siete dominios (numeral 6)</t>
        </is>
      </c>
      <c r="G17" s="40"/>
      <c r="H17" s="40"/>
      <c r="I17" s="39"/>
      <c r="J17" s="39"/>
      <c r="K17" s="39"/>
      <c r="L17" s="39"/>
      <c r="M17" s="39"/>
      <c r="N17" s="39"/>
      <c r="O17" s="39"/>
      <c r="P17" s="39" t="inlineStr">
        <is>
          <t xml:space="preserve">X</t>
        </is>
      </c>
      <c r="Q17" s="39"/>
      <c r="R17" s="45"/>
    </row>
    <row r="18" spans="1:18" x14ac:dyDescent="0.45">
      <c r="A18" s="176"/>
      <c r="B18" s="35" t="s">
        <v>267</v>
      </c>
      <c r="C18" s="33" t="s">
        <v>263</v>
      </c>
      <c r="D18" s="37" t="inlineStr">
        <is>
          <t xml:space="preserve">5 de octubre de 2026</t>
        </is>
      </c>
      <c r="E18" s="37" t="inlineStr">
        <is>
          <t xml:space="preserve">Ever Jonatan Delgado Chaguendo</t>
        </is>
      </c>
      <c r="F18" s="37" t="inlineStr">
        <is>
          <t xml:space="preserve">Catálogo de sistemas de información (numeral 6.4.1 y Anexo F)</t>
        </is>
      </c>
      <c r="G18" s="40"/>
      <c r="H18" s="40"/>
      <c r="I18" s="39"/>
      <c r="J18" s="39"/>
      <c r="K18" s="39"/>
      <c r="L18" s="39"/>
      <c r="M18" s="39"/>
      <c r="N18" s="39"/>
      <c r="O18" s="39"/>
      <c r="P18" s="39" t="inlineStr">
        <is>
          <t xml:space="preserve">X</t>
        </is>
      </c>
      <c r="Q18" s="39"/>
      <c r="R18" s="45"/>
    </row>
    <row r="19" spans="1:18" x14ac:dyDescent="0.45">
      <c r="A19" s="176"/>
      <c r="B19" s="35" t="s">
        <v>268</v>
      </c>
      <c r="C19" s="33" t="s">
        <v>264</v>
      </c>
      <c r="D19" s="37" t="inlineStr">
        <is>
          <t xml:space="preserve">5 de octubre de 2026</t>
        </is>
      </c>
      <c r="E19" s="37" t="inlineStr">
        <is>
          <t xml:space="preserve">Raul Guillermo Orobio Ospina</t>
        </is>
      </c>
      <c r="F19" s="37" t="inlineStr">
        <is>
          <t xml:space="preserve">Entidades de información frente a componentes (numeral 6.3.2)</t>
        </is>
      </c>
      <c r="G19" s="40"/>
      <c r="H19" s="40"/>
      <c r="I19" s="39"/>
      <c r="J19" s="39"/>
      <c r="K19" s="39"/>
      <c r="L19" s="39"/>
      <c r="M19" s="39"/>
      <c r="N19" s="39"/>
      <c r="O19" s="39"/>
      <c r="P19" s="39" t="inlineStr">
        <is>
          <t xml:space="preserve">X</t>
        </is>
      </c>
      <c r="Q19" s="39"/>
      <c r="R19" s="45"/>
    </row>
    <row r="20" spans="1:18" x14ac:dyDescent="0.45">
      <c r="A20" s="176"/>
      <c r="B20" s="35" t="s">
        <v>269</v>
      </c>
      <c r="C20" s="33" t="s">
        <v>265</v>
      </c>
      <c r="D20" s="37" t="inlineStr">
        <is>
          <t xml:space="preserve">5 de octubre de 2026</t>
        </is>
      </c>
      <c r="E20" s="37" t="inlineStr">
        <is>
          <t xml:space="preserve">Ever Jonatan Delgado Chaguendo</t>
        </is>
      </c>
      <c r="F20" s="37" t="inlineStr">
        <is>
          <t xml:space="preserve">Servicios y elementos de infraestructura (numerales 6.5.1 y 6.5.2)</t>
        </is>
      </c>
      <c r="G20" s="40"/>
      <c r="H20" s="40"/>
      <c r="I20" s="39"/>
      <c r="J20" s="39"/>
      <c r="K20" s="39"/>
      <c r="L20" s="39"/>
      <c r="M20" s="39"/>
      <c r="N20" s="39"/>
      <c r="O20" s="39"/>
      <c r="P20" s="39" t="inlineStr">
        <is>
          <t xml:space="preserve">X</t>
        </is>
      </c>
      <c r="Q20" s="39"/>
      <c r="R20" s="45"/>
    </row>
    <row r="21" spans="1:18" x14ac:dyDescent="0.45">
      <c r="A21" s="176"/>
      <c r="B21" s="35" t="s">
        <v>270</v>
      </c>
      <c r="C21" s="33" t="s">
        <v>266</v>
      </c>
      <c r="D21" s="37" t="inlineStr">
        <is>
          <t xml:space="preserve">5 de octubre de 2026</t>
        </is>
      </c>
      <c r="E21" s="37" t="inlineStr">
        <is>
          <t xml:space="preserve">Raul Guillermo Orobio Ospina</t>
        </is>
      </c>
      <c r="F21" s="37" t="inlineStr">
        <is>
          <t xml:space="preserve">Catálogo de servicios de TI (numeral 6.1.3 y Anexo F)</t>
        </is>
      </c>
      <c r="G21" s="40"/>
      <c r="H21" s="40"/>
      <c r="I21" s="39"/>
      <c r="J21" s="39"/>
      <c r="K21" s="39"/>
      <c r="L21" s="39"/>
      <c r="M21" s="39"/>
      <c r="N21" s="39"/>
      <c r="O21" s="39"/>
      <c r="P21" s="39" t="inlineStr">
        <is>
          <t xml:space="preserve">X</t>
        </is>
      </c>
      <c r="Q21" s="39"/>
      <c r="R21" s="45"/>
    </row>
    <row r="22" spans="1:18" x14ac:dyDescent="0.45">
      <c r="A22" s="176"/>
      <c r="B22" s="35" t="s">
        <v>277</v>
      </c>
      <c r="C22" s="33" t="s">
        <v>278</v>
      </c>
      <c r="D22" s="37" t="inlineStr">
        <is>
          <t xml:space="preserve">5 de octubre de 2026</t>
        </is>
      </c>
      <c r="E22" s="37" t="inlineStr">
        <is>
          <t xml:space="preserve">Raul Guillermo Orobio Ospina</t>
        </is>
      </c>
      <c r="F22" s="37" t="inlineStr">
        <is>
          <t xml:space="preserve">Diagnóstico y DOFA de estrategia de TI (numeral 6.1)</t>
        </is>
      </c>
      <c r="G22" s="40"/>
      <c r="H22" s="40"/>
      <c r="I22" s="39"/>
      <c r="J22" s="39"/>
      <c r="K22" s="39"/>
      <c r="L22" s="39"/>
      <c r="M22" s="39"/>
      <c r="N22" s="39"/>
      <c r="O22" s="39"/>
      <c r="P22" s="39" t="inlineStr">
        <is>
          <t xml:space="preserve">X</t>
        </is>
      </c>
      <c r="Q22" s="39"/>
      <c r="R22" s="45"/>
    </row>
    <row r="23" spans="1:18" x14ac:dyDescent="0.45">
      <c r="A23" s="176"/>
      <c r="B23" s="35" t="s">
        <v>285</v>
      </c>
      <c r="C23" s="33" t="s">
        <v>279</v>
      </c>
      <c r="D23" s="37" t="inlineStr">
        <is>
          <t xml:space="preserve">5 de octubre de 2026</t>
        </is>
      </c>
      <c r="E23" s="37" t="inlineStr">
        <is>
          <t xml:space="preserve">Raul Guillermo Orobio Ospina</t>
        </is>
      </c>
      <c r="F23" s="37" t="inlineStr">
        <is>
          <t xml:space="preserve">Diagnóstico y DOFA de gobierno de TI (numeral 6.2)</t>
        </is>
      </c>
      <c r="G23" s="40"/>
      <c r="H23" s="40"/>
      <c r="I23" s="39"/>
      <c r="J23" s="39"/>
      <c r="K23" s="39"/>
      <c r="L23" s="39"/>
      <c r="M23" s="39"/>
      <c r="N23" s="39"/>
      <c r="O23" s="39"/>
      <c r="P23" s="39" t="inlineStr">
        <is>
          <t xml:space="preserve">X</t>
        </is>
      </c>
      <c r="Q23" s="39"/>
      <c r="R23" s="45"/>
    </row>
    <row r="24" spans="1:18" x14ac:dyDescent="0.45">
      <c r="A24" s="176"/>
      <c r="B24" s="35" t="s">
        <v>286</v>
      </c>
      <c r="C24" s="33" t="s">
        <v>280</v>
      </c>
      <c r="D24" s="37" t="inlineStr">
        <is>
          <t xml:space="preserve">5 de octubre de 2026</t>
        </is>
      </c>
      <c r="E24" s="37" t="inlineStr">
        <is>
          <t xml:space="preserve">Ever Jonatan Delgado Chaguendo</t>
        </is>
      </c>
      <c r="F24" s="37" t="inlineStr">
        <is>
          <t xml:space="preserve">Diagnóstico y DOFA de sistemas de información (numeral 6.4)</t>
        </is>
      </c>
      <c r="G24" s="40"/>
      <c r="H24" s="40"/>
      <c r="I24" s="39"/>
      <c r="J24" s="39"/>
      <c r="K24" s="39"/>
      <c r="L24" s="39"/>
      <c r="M24" s="39"/>
      <c r="N24" s="39"/>
      <c r="O24" s="39"/>
      <c r="P24" s="39" t="inlineStr">
        <is>
          <t xml:space="preserve">X</t>
        </is>
      </c>
      <c r="Q24" s="39"/>
      <c r="R24" s="45"/>
    </row>
    <row r="25" spans="1:18" x14ac:dyDescent="0.45">
      <c r="A25" s="176"/>
      <c r="B25" s="35" t="s">
        <v>287</v>
      </c>
      <c r="C25" s="33" t="s">
        <v>281</v>
      </c>
      <c r="D25" s="37" t="inlineStr">
        <is>
          <t xml:space="preserve">5 de octubre de 2026</t>
        </is>
      </c>
      <c r="E25" s="37" t="inlineStr">
        <is>
          <t xml:space="preserve">Ever Jonatan Delgado Chaguendo</t>
        </is>
      </c>
      <c r="F25" s="37" t="inlineStr">
        <is>
          <t xml:space="preserve">Diagnóstico y DOFA de seguridad (numeral 6.7)</t>
        </is>
      </c>
      <c r="G25" s="40"/>
      <c r="H25" s="40"/>
      <c r="I25" s="39"/>
      <c r="J25" s="39"/>
      <c r="K25" s="39"/>
      <c r="L25" s="39"/>
      <c r="M25" s="39"/>
      <c r="N25" s="39"/>
      <c r="O25" s="39"/>
      <c r="P25" s="39" t="inlineStr">
        <is>
          <t xml:space="preserve">X</t>
        </is>
      </c>
      <c r="Q25" s="39"/>
      <c r="R25" s="45"/>
    </row>
    <row r="26" spans="1:18" x14ac:dyDescent="0.45">
      <c r="A26" s="176"/>
      <c r="B26" s="35" t="s">
        <v>288</v>
      </c>
      <c r="C26" s="33" t="s">
        <v>282</v>
      </c>
      <c r="D26" s="37" t="inlineStr">
        <is>
          <t xml:space="preserve">5 de octubre de 2026</t>
        </is>
      </c>
      <c r="E26" s="37" t="inlineStr">
        <is>
          <t xml:space="preserve">Raul Guillermo Orobio Ospina</t>
        </is>
      </c>
      <c r="F26" s="37" t="inlineStr">
        <is>
          <t xml:space="preserve">Diagnóstico y DOFA de información (numeral 6.3)</t>
        </is>
      </c>
      <c r="G26" s="40"/>
      <c r="H26" s="40"/>
      <c r="I26" s="39"/>
      <c r="J26" s="39"/>
      <c r="K26" s="39"/>
      <c r="L26" s="39"/>
      <c r="M26" s="39"/>
      <c r="N26" s="39"/>
      <c r="O26" s="39"/>
      <c r="P26" s="39" t="inlineStr">
        <is>
          <t xml:space="preserve">X</t>
        </is>
      </c>
      <c r="Q26" s="39"/>
      <c r="R26" s="45"/>
    </row>
    <row r="27" spans="1:18" x14ac:dyDescent="0.45">
      <c r="A27" s="176"/>
      <c r="B27" s="35" t="s">
        <v>289</v>
      </c>
      <c r="C27" s="33" t="s">
        <v>283</v>
      </c>
      <c r="D27" s="37" t="inlineStr">
        <is>
          <t xml:space="preserve">5 de octubre de 2026</t>
        </is>
      </c>
      <c r="E27" s="37" t="inlineStr">
        <is>
          <t xml:space="preserve">Ever Jonatan Delgado Chaguendo</t>
        </is>
      </c>
      <c r="F27" s="37" t="inlineStr">
        <is>
          <t xml:space="preserve">Diagnóstico y DOFA de infraestructura (numeral 6.5)</t>
        </is>
      </c>
      <c r="G27" s="40"/>
      <c r="H27" s="40"/>
      <c r="I27" s="39"/>
      <c r="J27" s="39"/>
      <c r="K27" s="39"/>
      <c r="L27" s="39"/>
      <c r="M27" s="39"/>
      <c r="N27" s="39"/>
      <c r="O27" s="39"/>
      <c r="P27" s="39" t="inlineStr">
        <is>
          <t xml:space="preserve">X</t>
        </is>
      </c>
      <c r="Q27" s="39"/>
      <c r="R27" s="45"/>
    </row>
    <row r="28" spans="1:18" x14ac:dyDescent="0.45">
      <c r="A28" s="176"/>
      <c r="B28" s="35" t="s">
        <v>290</v>
      </c>
      <c r="C28" s="33" t="s">
        <v>284</v>
      </c>
      <c r="D28" s="37" t="inlineStr">
        <is>
          <t xml:space="preserve">5 de octubre de 2026</t>
        </is>
      </c>
      <c r="E28" s="37" t="inlineStr">
        <is>
          <t xml:space="preserve">Ever Jonatan Delgado Chaguendo</t>
        </is>
      </c>
      <c r="F28" s="37" t="inlineStr">
        <is>
          <t xml:space="preserve">Diagnóstico y DOFA de uso y apropiación (numeral 6.6)</t>
        </is>
      </c>
      <c r="G28" s="40"/>
      <c r="H28" s="40"/>
      <c r="I28" s="39"/>
      <c r="J28" s="39"/>
      <c r="K28" s="39"/>
      <c r="L28" s="39"/>
      <c r="M28" s="39"/>
      <c r="N28" s="39"/>
      <c r="O28" s="39"/>
      <c r="P28" s="39" t="inlineStr">
        <is>
          <t xml:space="preserve">X</t>
        </is>
      </c>
      <c r="Q28" s="39"/>
      <c r="R28" s="45"/>
    </row>
    <row r="29" spans="1:18" x14ac:dyDescent="0.45">
      <c r="A29" s="176" t="s">
        <v>254</v>
      </c>
      <c r="B29" s="32">
        <v>5</v>
      </c>
      <c r="C29" s="33" t="s">
        <v>291</v>
      </c>
      <c r="D29" s="36" t="inlineStr">
        <is>
          <t xml:space="preserve">5 de octubre de 2026</t>
        </is>
      </c>
      <c r="E29" s="36" t="inlineStr">
        <is>
          <t xml:space="preserve">Ever Jonatan Delgado Chaguendo</t>
        </is>
      </c>
      <c r="F29" s="36" t="inlineStr">
        <is>
          <t xml:space="preserve">Tendencias frente a servicios y procesos (numeral 6)</t>
        </is>
      </c>
      <c r="G29" s="40"/>
      <c r="H29" s="40"/>
      <c r="I29" s="40"/>
      <c r="J29" s="40"/>
      <c r="K29" s="40"/>
      <c r="L29" s="40"/>
      <c r="M29" s="39"/>
      <c r="N29" s="39"/>
      <c r="O29" s="39"/>
      <c r="P29" s="39" t="inlineStr">
        <is>
          <t xml:space="preserve">X</t>
        </is>
      </c>
      <c r="Q29" s="39"/>
      <c r="R29" s="45"/>
    </row>
    <row r="30" spans="1:18" x14ac:dyDescent="0.45">
      <c r="A30" s="176"/>
      <c r="B30" s="35">
        <v>6</v>
      </c>
      <c r="C30" s="33" t="s">
        <v>292</v>
      </c>
      <c r="D30" s="36" t="inlineStr">
        <is>
          <t xml:space="preserve">5 de octubre de 2026</t>
        </is>
      </c>
      <c r="E30" s="36" t="inlineStr">
        <is>
          <t xml:space="preserve">Juan Jose Muñoz</t>
        </is>
      </c>
      <c r="F30" s="36" t="inlineStr">
        <is>
          <t xml:space="preserve">Misión, visión, objetivos y metas de TI (numeral 7.1)</t>
        </is>
      </c>
      <c r="G30" s="40"/>
      <c r="H30" s="40"/>
      <c r="I30" s="40"/>
      <c r="J30" s="40"/>
      <c r="K30" s="40"/>
      <c r="L30" s="40"/>
      <c r="M30" s="40"/>
      <c r="N30" s="40"/>
      <c r="O30" s="39"/>
      <c r="P30" s="39" t="inlineStr">
        <is>
          <t xml:space="preserve">X</t>
        </is>
      </c>
      <c r="Q30" s="39"/>
      <c r="R30" s="45"/>
    </row>
    <row r="31" spans="1:18" x14ac:dyDescent="0.25">
      <c r="A31" s="176"/>
      <c r="B31" s="32">
        <v>7</v>
      </c>
      <c r="C31" s="33" t="s">
        <v>293</v>
      </c>
      <c r="D31" s="34" t="inlineStr">
        <is>
          <t xml:space="preserve">5 de octubre de 2026</t>
        </is>
      </c>
      <c r="E31" s="34" t="inlineStr">
        <is>
          <t xml:space="preserve">Juan Jose Muñoz</t>
        </is>
      </c>
      <c r="F31" s="34" t="inlineStr">
        <is>
          <t xml:space="preserve">Servicios de TI objetivo (numeral 7.1.4)</t>
        </is>
      </c>
      <c r="G31" s="40"/>
      <c r="H31" s="40"/>
      <c r="I31" s="40"/>
      <c r="J31" s="40"/>
      <c r="K31" s="40"/>
      <c r="L31" s="40"/>
      <c r="M31" s="40"/>
      <c r="N31" s="40"/>
      <c r="O31" s="40"/>
      <c r="P31" s="40" t="inlineStr">
        <is>
          <t xml:space="preserve">X</t>
        </is>
      </c>
      <c r="Q31" s="40"/>
      <c r="R31" s="44"/>
    </row>
    <row r="32" spans="1:18" x14ac:dyDescent="0.25">
      <c r="A32" s="176"/>
      <c r="B32" s="35">
        <v>8</v>
      </c>
      <c r="C32" s="33" t="s">
        <v>294</v>
      </c>
      <c r="D32" s="37" t="inlineStr">
        <is>
          <t xml:space="preserve">5 de octubre de 2026</t>
        </is>
      </c>
      <c r="E32" s="37" t="inlineStr">
        <is>
          <t xml:space="preserve">Juan Jose Muñoz</t>
        </is>
      </c>
      <c r="F32" s="37" t="inlineStr">
        <is>
          <t xml:space="preserve">Situación objetivo por dominio y oportunidades (numerales 7 y 8)</t>
        </is>
      </c>
      <c r="G32" s="40"/>
      <c r="H32" s="40"/>
      <c r="I32" s="40"/>
      <c r="J32" s="40"/>
      <c r="K32" s="40"/>
      <c r="L32" s="40"/>
      <c r="M32" s="40"/>
      <c r="N32" s="40"/>
      <c r="O32" s="40"/>
      <c r="P32" s="40" t="inlineStr">
        <is>
          <t xml:space="preserve">X</t>
        </is>
      </c>
      <c r="Q32" s="40"/>
      <c r="R32" s="44"/>
    </row>
    <row r="33" spans="1:18" x14ac:dyDescent="0.45">
      <c r="A33" s="176"/>
      <c r="B33" s="32">
        <v>9</v>
      </c>
      <c r="C33" s="33" t="s">
        <v>295</v>
      </c>
      <c r="D33" s="36" t="inlineStr">
        <is>
          <t xml:space="preserve">5 de octubre de 2026</t>
        </is>
      </c>
      <c r="E33" s="36" t="inlineStr">
        <is>
          <t xml:space="preserve">Juan Jose Muñoz</t>
        </is>
      </c>
      <c r="F33" s="36" t="inlineStr">
        <is>
          <t xml:space="preserve">Catálogo de brechas (numeral 8)</t>
        </is>
      </c>
      <c r="G33" s="39"/>
      <c r="H33" s="39"/>
      <c r="I33" s="39"/>
      <c r="J33" s="39"/>
      <c r="K33" s="39"/>
      <c r="L33" s="39"/>
      <c r="M33" s="39"/>
      <c r="N33" s="39"/>
      <c r="O33" s="39"/>
      <c r="P33" s="39" t="inlineStr">
        <is>
          <t xml:space="preserve">X</t>
        </is>
      </c>
      <c r="Q33" s="39"/>
      <c r="R33" s="45"/>
    </row>
    <row r="34" spans="1:18" x14ac:dyDescent="0.45">
      <c r="A34" s="176"/>
      <c r="B34" s="35">
        <v>10</v>
      </c>
      <c r="C34" s="33" t="s">
        <v>296</v>
      </c>
      <c r="D34" s="36" t="inlineStr">
        <is>
          <t xml:space="preserve">5 de octubre de 2026</t>
        </is>
      </c>
      <c r="E34" s="36" t="inlineStr">
        <is>
          <t xml:space="preserve">Luis Fernando Narvaes Marin</t>
        </is>
      </c>
      <c r="F34" s="36" t="inlineStr">
        <is>
          <t xml:space="preserve">Catálogo de proyectos, fichas, presupuesto y mapa de ruta (numeral 8)</t>
        </is>
      </c>
      <c r="G34" s="39"/>
      <c r="H34" s="39"/>
      <c r="I34" s="39"/>
      <c r="J34" s="39"/>
      <c r="K34" s="39"/>
      <c r="L34" s="39"/>
      <c r="M34" s="39"/>
      <c r="N34" s="39"/>
      <c r="O34" s="39"/>
      <c r="P34" s="39" t="inlineStr">
        <is>
          <t xml:space="preserve">X</t>
        </is>
      </c>
      <c r="Q34" s="39"/>
      <c r="R34" s="45"/>
    </row>
    <row r="35" spans="1:18" x14ac:dyDescent="0.45">
      <c r="A35" s="176"/>
      <c r="B35" s="32">
        <v>11</v>
      </c>
      <c r="C35" s="33" t="s">
        <v>297</v>
      </c>
      <c r="D35" s="36" t="inlineStr">
        <is>
          <t xml:space="preserve">5 de octubre de 2026</t>
        </is>
      </c>
      <c r="E35" s="36" t="inlineStr">
        <is>
          <t xml:space="preserve">Juan Jose Muñoz</t>
        </is>
      </c>
      <c r="F35" s="36" t="inlineStr">
        <is>
          <t xml:space="preserve">Iniciativas de otros planes IPGD001 a IPGD006 (numeral 8)</t>
        </is>
      </c>
      <c r="G35" s="39"/>
      <c r="H35" s="39"/>
      <c r="I35" s="39"/>
      <c r="J35" s="39"/>
      <c r="K35" s="39"/>
      <c r="L35" s="39"/>
      <c r="M35" s="39"/>
      <c r="N35" s="39"/>
      <c r="O35" s="39"/>
      <c r="P35" s="39" t="inlineStr">
        <is>
          <t xml:space="preserve">X</t>
        </is>
      </c>
      <c r="Q35" s="39"/>
      <c r="R35" s="45"/>
    </row>
    <row r="36" spans="1:18" x14ac:dyDescent="0.45">
      <c r="A36" s="176"/>
      <c r="B36" s="35">
        <v>12</v>
      </c>
      <c r="C36" s="33" t="s">
        <v>298</v>
      </c>
      <c r="D36" s="36" t="inlineStr">
        <is>
          <t xml:space="preserve">5 de octubre de 2026</t>
        </is>
      </c>
      <c r="E36" s="36" t="inlineStr">
        <is>
          <t xml:space="preserve">Luis Fernando Narvaes Marin</t>
        </is>
      </c>
      <c r="F36" s="36" t="inlineStr">
        <is>
          <t xml:space="preserve">Hojas de vida de indicadores (numeral 7.1.6) y riesgos (numeral 7.2)</t>
        </is>
      </c>
      <c r="G36" s="39"/>
      <c r="H36" s="39"/>
      <c r="I36" s="39"/>
      <c r="J36" s="39"/>
      <c r="K36" s="39"/>
      <c r="L36" s="39"/>
      <c r="M36" s="39"/>
      <c r="N36" s="39"/>
      <c r="O36" s="39"/>
      <c r="P36" s="39" t="inlineStr">
        <is>
          <t xml:space="preserve">X</t>
        </is>
      </c>
      <c r="Q36" s="39"/>
      <c r="R36" s="45"/>
    </row>
    <row r="37" spans="1:18" x14ac:dyDescent="0.45">
      <c r="A37" s="176" t="s">
        <v>255</v>
      </c>
      <c r="B37" s="32">
        <v>13</v>
      </c>
      <c r="C37" s="33" t="s">
        <v>299</v>
      </c>
      <c r="D37" s="36" t="inlineStr">
        <is>
          <t xml:space="preserve">5 de octubre de 2026</t>
        </is>
      </c>
      <c r="E37" s="36" t="inlineStr">
        <is>
          <t xml:space="preserve">Hannyer Arce Ararat</t>
        </is>
      </c>
      <c r="F37" s="36" t="inlineStr">
        <is>
          <t xml:space="preserve">Documento PETI consolidado</t>
        </is>
      </c>
      <c r="G37" s="39"/>
      <c r="H37" s="39"/>
      <c r="I37" s="39"/>
      <c r="J37" s="39"/>
      <c r="K37" s="39"/>
      <c r="L37" s="39"/>
      <c r="M37" s="39"/>
      <c r="N37" s="39"/>
      <c r="O37" s="39"/>
      <c r="P37" s="39" t="inlineStr">
        <is>
          <t xml:space="preserve">X</t>
        </is>
      </c>
      <c r="Q37" s="39"/>
      <c r="R37" s="45"/>
    </row>
    <row r="38" spans="1:18" ht="20.25" x14ac:dyDescent="0.45">
      <c r="A38" s="176"/>
      <c r="B38" s="35">
        <v>14</v>
      </c>
      <c r="C38" s="33" t="s">
        <v>300</v>
      </c>
      <c r="D38" s="36"/>
      <c r="E38" s="36"/>
      <c r="F38" s="36"/>
      <c r="G38" s="39"/>
      <c r="H38" s="39"/>
      <c r="I38" s="39"/>
      <c r="J38" s="39"/>
      <c r="K38" s="39"/>
      <c r="L38" s="39"/>
      <c r="M38" s="39"/>
      <c r="N38" s="39"/>
      <c r="O38" s="39"/>
      <c r="P38" s="39"/>
      <c r="Q38" s="39"/>
      <c r="R38" s="45"/>
    </row>
    <row r="39" spans="1:18" ht="21" thickBot="1" x14ac:dyDescent="0.5">
      <c r="A39" s="177"/>
      <c r="B39" s="46">
        <v>15</v>
      </c>
      <c r="C39" s="47" t="s">
        <v>301</v>
      </c>
      <c r="D39" s="48"/>
      <c r="E39" s="48"/>
      <c r="F39" s="48"/>
      <c r="G39" s="49"/>
      <c r="H39" s="49"/>
      <c r="I39" s="49"/>
      <c r="J39" s="49"/>
      <c r="K39" s="49"/>
      <c r="L39" s="49"/>
      <c r="M39" s="49"/>
      <c r="N39" s="49"/>
      <c r="O39" s="49"/>
      <c r="P39" s="49"/>
      <c r="Q39" s="49"/>
      <c r="R39" s="50"/>
    </row>
  </sheetData>
  <mergeCells count="6">
    <mergeCell ref="A37:A39"/>
    <mergeCell ref="A29:A36"/>
    <mergeCell ref="A8:F8"/>
    <mergeCell ref="A11:A28"/>
    <mergeCell ref="G9:R9"/>
    <mergeCell ref="G8:R8"/>
  </mergeCells>
  <phoneticPr fontId="14" type="noConversion"/>
  <hyperlinks>
    <hyperlink ref="C32" location="_bookmark59" display="_bookmark59" xr:uid="{2B56B1B2-A7DC-4475-85E9-4AD1CEB36EE8}"/>
    <hyperlink ref="C34" location="_bookmark73" display="_bookmark73" xr:uid="{C4A5A095-4505-4841-8437-8A73536B247F}"/>
    <hyperlink ref="C36" location="_bookmark86" display="_bookmark86" xr:uid="{59B18B66-91A0-4DEB-9103-0B1A68D87440}"/>
    <hyperlink ref="C37" location="_bookmark91" display="_bookmark91" xr:uid="{14246A6F-002A-476A-9D93-3499F936CA84}"/>
    <hyperlink ref="C38" location="_bookmark93" display="_bookmark93" xr:uid="{A6274CC4-69FC-4623-9F49-FC8C8F28E497}"/>
  </hyperlinks>
  <pageMargins left="0.7" right="0.7" top="0.75" bottom="0.75" header="0.3" footer="0.3"/>
  <pageSetup scale="42" fitToHeight="0"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1C32F-6E5C-4CF8-B407-147F77F3EEDF}">
  <sheetPr>
    <pageSetUpPr fitToPage="1"/>
  </sheetPr>
  <dimension ref="A4:F38"/>
  <sheetViews>
    <sheetView showGridLines="0" workbookViewId="0">
      <selection activeCell="F10" sqref="F10"/>
    </sheetView>
  </sheetViews>
  <sheetFormatPr baseColWidth="10" defaultColWidth="11.42578125" defaultRowHeight="15" x14ac:dyDescent="0.25"/>
  <cols>
    <col min="1" max="1" width="6.85546875" bestFit="1" customWidth="1"/>
    <col min="2" max="2" width="13.5703125" customWidth="1"/>
    <col min="3" max="3" width="18.28515625" customWidth="1"/>
    <col min="4" max="4" width="7.28515625" bestFit="1" customWidth="1"/>
    <col min="5" max="5" width="36.85546875" customWidth="1"/>
    <col min="6" max="6" width="24.28515625" customWidth="1"/>
    <col min="9" max="9" width="11.5703125" customWidth="1"/>
  </cols>
  <sheetData>
    <row r="4" spans="1:6" ht="15.75" thickBot="1" x14ac:dyDescent="0.3"/>
    <row r="5" spans="1:6" ht="20.25" x14ac:dyDescent="0.25">
      <c r="A5" s="186" t="s">
        <v>4</v>
      </c>
      <c r="B5" s="175"/>
      <c r="C5" s="175"/>
      <c r="D5" s="175"/>
      <c r="E5" s="175"/>
      <c r="F5" s="187"/>
    </row>
    <row r="6" spans="1:6" x14ac:dyDescent="0.25">
      <c r="A6" s="188" t="s">
        <v>5</v>
      </c>
      <c r="B6" s="184"/>
      <c r="C6" s="172" t="inlineStr">
        <is>
          <t xml:space="preserve">Valor + S.A.S. (Valor+)</t>
        </is>
      </c>
      <c r="D6" s="172"/>
      <c r="E6" s="18" t="s">
        <v>6</v>
      </c>
      <c r="F6" s="26" t="inlineStr">
        <is>
          <t xml:space="preserve">Medellín, Antioquia</t>
        </is>
      </c>
    </row>
    <row r="7" spans="1:6" x14ac:dyDescent="0.25">
      <c r="A7" s="188" t="s">
        <v>7</v>
      </c>
      <c r="B7" s="184"/>
      <c r="C7" s="189" t="inlineStr">
        <is>
          <t xml:space="preserve">Departamental; nivel descentralizado por servicios (filial del IDEA)</t>
        </is>
      </c>
      <c r="D7" s="189"/>
      <c r="E7" s="18" t="s">
        <v>8</v>
      </c>
      <c r="F7" s="54" t="inlineStr">
        <is>
          <t xml:space="preserve">No se encontró el total ejecutado. Inversión 2025: $2.007 millones comprometidos de $2.134 millones (Informe de gestión 2025, pág. 157)</t>
        </is>
      </c>
    </row>
    <row r="8" spans="1:6" x14ac:dyDescent="0.25">
      <c r="A8" s="188" t="s">
        <v>9</v>
      </c>
      <c r="B8" s="184"/>
      <c r="C8" s="190" t="inlineStr">
        <is>
          <t xml:space="preserve">Sociedad por acciones simplificada de economía mixta (IDEA 98,95 %, FEIDEA 1,05 %); régimen de empresa industrial y comercial del Estado (Ley 489 de 1998, art. 97)</t>
        </is>
      </c>
      <c r="D8" s="190"/>
      <c r="E8" s="18" t="s">
        <v>10</v>
      </c>
      <c r="F8" s="55" t="inlineStr">
        <is>
          <t xml:space="preserve">No publicado por separado</t>
        </is>
      </c>
    </row>
    <row r="9" spans="1:6" x14ac:dyDescent="0.25">
      <c r="A9" s="188" t="s">
        <v>12</v>
      </c>
      <c r="B9" s="184"/>
      <c r="C9" s="191" t="inlineStr">
        <is>
          <t xml:space="preserve">Territorial</t>
        </is>
      </c>
      <c r="D9" s="191"/>
      <c r="E9" s="18" t="s">
        <v>13</v>
      </c>
      <c r="F9" s="56" t="inlineStr">
        <is>
          <t xml:space="preserve">25 de noviembre de 2024: aprobación del PEI 2024-2027, Acta 006 del Comité Institucional de Gestión y Desempeño</t>
        </is>
      </c>
    </row>
    <row r="10" spans="1:6" x14ac:dyDescent="0.25">
      <c r="A10" s="188"/>
      <c r="B10" s="184"/>
      <c r="C10" s="190"/>
      <c r="D10" s="190"/>
      <c r="E10" s="18" t="s">
        <v>15</v>
      </c>
      <c r="F10" s="55" t="inlineStr">
        <is>
          <t xml:space="preserve">28 de enero de 2026 (PETI 2026-2027, versión 4.0); este PETI 2027-2030, octubre de 2026 (propuesta)</t>
        </is>
      </c>
    </row>
    <row r="11" spans="1:6" x14ac:dyDescent="0.25">
      <c r="A11" s="188"/>
      <c r="B11" s="184"/>
      <c r="C11" s="189"/>
      <c r="D11" s="189"/>
      <c r="E11" s="18" t="s">
        <v>302</v>
      </c>
      <c r="F11" s="54" t="inlineStr">
        <is>
          <t xml:space="preserve">No aplica plan sectorial propio; referencia: Plan de Desarrollo de Antioquia 2024-2027 "Por Antioquia Firme"</t>
        </is>
      </c>
    </row>
    <row r="12" spans="1:6" ht="19.149999999999999" customHeight="1" x14ac:dyDescent="0.25">
      <c r="A12" s="188" t="s">
        <v>16</v>
      </c>
      <c r="B12" s="184"/>
      <c r="C12" s="184"/>
      <c r="D12" s="184"/>
      <c r="E12" s="184"/>
      <c r="F12" s="196"/>
    </row>
    <row r="13" spans="1:6" x14ac:dyDescent="0.25">
      <c r="A13" s="188" t="s">
        <v>17</v>
      </c>
      <c r="B13" s="184"/>
      <c r="C13" s="189" t="inlineStr">
        <is>
          <t xml:space="preserve">"Somos creadores e integradores de soluciones basadas en tecnología y procesos, que contribuyen a la generación de valor en las empresas y entidades públicas, facilitando su transformación digital y contribuyendo a un futuro inclusivo y sostenible" (Informe de gestión 2025, pág. 4).</t>
        </is>
      </c>
      <c r="D13" s="189"/>
      <c r="E13" s="189"/>
      <c r="F13" s="195"/>
    </row>
    <row r="14" spans="1:6" x14ac:dyDescent="0.25">
      <c r="A14" s="188" t="s">
        <v>18</v>
      </c>
      <c r="B14" s="184"/>
      <c r="C14" s="189" t="inlineStr">
        <is>
          <t xml:space="preserve">"Para 2027, seremos un referente en la integración de soluciones tecnológicas y sostenibles en la gestión pública" (Informe de gestión 2025, pág. 4). La visión termina en 2027, el primer año de este plan; el PETI se ajustará cuando la organización apruebe la siguiente.</t>
        </is>
      </c>
      <c r="D14" s="189"/>
      <c r="E14" s="189"/>
      <c r="F14" s="195"/>
    </row>
    <row r="15" spans="1:6" ht="19.149999999999999" customHeight="1" x14ac:dyDescent="0.25">
      <c r="A15" s="188" t="s">
        <v>303</v>
      </c>
      <c r="B15" s="184"/>
      <c r="C15" s="184"/>
      <c r="D15" s="184"/>
      <c r="E15" s="184"/>
      <c r="F15" s="196"/>
    </row>
    <row r="16" spans="1:6" ht="19.149999999999999" customHeight="1" x14ac:dyDescent="0.25">
      <c r="A16" s="188" t="s">
        <v>1</v>
      </c>
      <c r="B16" s="184"/>
      <c r="C16" s="184"/>
      <c r="D16" s="184" t="s">
        <v>19</v>
      </c>
      <c r="E16" s="184"/>
      <c r="F16" s="196"/>
    </row>
    <row r="17" spans="1:6" ht="15.75" x14ac:dyDescent="0.25">
      <c r="A17" s="22" t="s">
        <v>20</v>
      </c>
      <c r="B17" s="184" t="s">
        <v>3</v>
      </c>
      <c r="C17" s="184"/>
      <c r="D17" s="17" t="s">
        <v>20</v>
      </c>
      <c r="E17" s="17" t="s">
        <v>3</v>
      </c>
      <c r="F17" s="59" t="s">
        <v>21</v>
      </c>
    </row>
    <row r="18" spans="1:6" x14ac:dyDescent="0.25">
      <c r="A18" s="57" t="inlineStr">
        <is>
          <t xml:space="preserve">OC01</t>
        </is>
      </c>
      <c r="B18" s="185" t="inlineStr">
        <is>
          <t xml:space="preserve">Fortalecer la gobernanza para mejorar la transparencia, eficiencia y eficacia</t>
        </is>
      </c>
      <c r="C18" s="185"/>
      <c r="D18" s="52" t="inlineStr">
        <is>
          <t xml:space="preserve">M01.1</t>
        </is>
      </c>
      <c r="E18" s="51" t="inlineStr">
        <is>
          <t xml:space="preserve">Puntaje FURAG (meta 2025: 70)</t>
        </is>
      </c>
      <c r="F18" s="58" t="inlineStr">
        <is>
          <t xml:space="preserve">75 en 2025 (Informe de gestión 2025, pág. 23)</t>
        </is>
      </c>
    </row>
    <row r="19" spans="1:6" x14ac:dyDescent="0.25">
      <c r="A19" s="57"/>
      <c r="B19" s="185"/>
      <c r="C19" s="185"/>
      <c r="D19" s="52" t="inlineStr">
        <is>
          <t xml:space="preserve">M01.2</t>
        </is>
      </c>
      <c r="E19" s="51" t="inlineStr">
        <is>
          <t xml:space="preserve">Puntaje ITA (meta 2025: 92)</t>
        </is>
      </c>
      <c r="F19" s="58" t="inlineStr">
        <is>
          <t xml:space="preserve">94 en 2025 (Informe de gestión 2025, pág. 23)</t>
        </is>
      </c>
    </row>
    <row r="20" spans="1:6" x14ac:dyDescent="0.25">
      <c r="A20" s="57" t="inlineStr">
        <is>
          <t xml:space="preserve">OC02</t>
        </is>
      </c>
      <c r="B20" s="185" t="inlineStr">
        <is>
          <t xml:space="preserve">Articular la gestión institucional y el modelo organizacional para aumentar la productividad operativa</t>
        </is>
      </c>
      <c r="C20" s="185"/>
      <c r="D20" s="52" t="inlineStr">
        <is>
          <t xml:space="preserve">M02.1</t>
        </is>
      </c>
      <c r="E20" s="51" t="inlineStr">
        <is>
          <t xml:space="preserve">Ejecución del plan de acción institucional (meta 2025: ≥ 90 %)</t>
        </is>
      </c>
      <c r="F20" s="58" t="inlineStr">
        <is>
          <t xml:space="preserve">54,84 % en 2025 (Informe de gestión 2025, pág. 24)</t>
        </is>
      </c>
    </row>
    <row r="21" spans="1:6" x14ac:dyDescent="0.25">
      <c r="A21" s="57" t="inlineStr">
        <is>
          <t xml:space="preserve">OC03</t>
        </is>
      </c>
      <c r="B21" s="185" t="inlineStr">
        <is>
          <t xml:space="preserve">Aumentar la sostenibilidad financiera a través de la diversificación de ingresos y la optimización de costos</t>
        </is>
      </c>
      <c r="C21" s="185"/>
      <c r="D21" s="52" t="inlineStr">
        <is>
          <t xml:space="preserve">M03.1</t>
        </is>
      </c>
      <c r="E21" s="51" t="inlineStr">
        <is>
          <t xml:space="preserve">Facturación de ingresos frente a lo planeado (meta 2025: ≥ 80 %)</t>
        </is>
      </c>
      <c r="F21" s="58" t="inlineStr">
        <is>
          <t xml:space="preserve">77,83 % en 2025 (Informe de gestión 2025, pág. 16)</t>
        </is>
      </c>
    </row>
    <row r="22" spans="1:6" x14ac:dyDescent="0.25">
      <c r="A22" s="57"/>
      <c r="B22" s="185"/>
      <c r="C22" s="185"/>
      <c r="D22" s="52" t="inlineStr">
        <is>
          <t xml:space="preserve">M03.2</t>
        </is>
      </c>
      <c r="E22" s="51" t="inlineStr">
        <is>
          <t xml:space="preserve">Presupuesto de costos optimizado (meta 2025: ≥ 93 %)</t>
        </is>
      </c>
      <c r="F22" s="58" t="inlineStr">
        <is>
          <t xml:space="preserve">80,72 % en 2025 (Informe de gestión 2025, pág. 17)</t>
        </is>
      </c>
    </row>
    <row r="23" spans="1:6" x14ac:dyDescent="0.25">
      <c r="A23" s="57" t="inlineStr">
        <is>
          <t xml:space="preserve">OC04</t>
        </is>
      </c>
      <c r="B23" s="185" t="inlineStr">
        <is>
          <t xml:space="preserve">Mejorar la experiencia del cliente y aumentar la satisfacción para fomentar la lealtad y el crecimiento del negocio</t>
        </is>
      </c>
      <c r="C23" s="185"/>
      <c r="D23" s="52" t="inlineStr">
        <is>
          <t xml:space="preserve">M04.1</t>
        </is>
      </c>
      <c r="E23" s="51" t="inlineStr">
        <is>
          <t xml:space="preserve">Cumplimiento de los ANS contractuales (meta 2025: ≥ 94 %)</t>
        </is>
      </c>
      <c r="F23" s="58" t="inlineStr">
        <is>
          <t xml:space="preserve">95,71 % en 2025 (Informe de gestión 2025, pág. 16)</t>
        </is>
      </c>
    </row>
    <row r="24" spans="1:6" x14ac:dyDescent="0.25">
      <c r="A24" s="57"/>
      <c r="B24" s="185"/>
      <c r="C24" s="185"/>
      <c r="D24" s="52" t="inlineStr">
        <is>
          <t xml:space="preserve">M04.2</t>
        </is>
      </c>
      <c r="E24" s="51" t="inlineStr">
        <is>
          <t xml:space="preserve">Índice de satisfacción del cliente (meta 2025: 100 %)</t>
        </is>
      </c>
      <c r="F24" s="58" t="inlineStr">
        <is>
          <t xml:space="preserve">99 % en 2025 (Informe de gestión 2025, pág. 92)</t>
        </is>
      </c>
    </row>
    <row r="25" spans="1:6" x14ac:dyDescent="0.25">
      <c r="A25" s="57" t="inlineStr">
        <is>
          <t xml:space="preserve">OC05</t>
        </is>
      </c>
      <c r="B25" s="185" t="inlineStr">
        <is>
          <t xml:space="preserve">Consolidar a Valor+ como el principal aliado en el desarrollo e innovación tecnológica para el sector público en el departamento de Antioquia</t>
        </is>
      </c>
      <c r="C25" s="185"/>
      <c r="D25" s="52" t="inlineStr">
        <is>
          <t xml:space="preserve">M05.1</t>
        </is>
      </c>
      <c r="E25" s="51" t="inlineStr">
        <is>
          <t xml:space="preserve">Registros de propiedad intelectual aprobados (meta 2025: ≥ 4)</t>
        </is>
      </c>
      <c r="F25" s="58" t="inlineStr">
        <is>
          <t xml:space="preserve">2 en 2025 (Informe de gestión 2025, pág. 17)</t>
        </is>
      </c>
    </row>
    <row r="26" spans="1:6" x14ac:dyDescent="0.25">
      <c r="A26" s="57"/>
      <c r="B26" s="185"/>
      <c r="C26" s="185"/>
      <c r="D26" s="52"/>
      <c r="E26" s="51"/>
      <c r="F26" s="58"/>
    </row>
    <row r="27" spans="1:6" x14ac:dyDescent="0.25">
      <c r="A27" s="57"/>
      <c r="B27" s="185"/>
      <c r="C27" s="185"/>
      <c r="D27" s="52"/>
      <c r="E27" s="51"/>
      <c r="F27" s="58"/>
    </row>
    <row r="28" spans="1:6" x14ac:dyDescent="0.25">
      <c r="A28" s="57"/>
      <c r="B28" s="185"/>
      <c r="C28" s="185"/>
      <c r="D28" s="52"/>
      <c r="E28" s="51"/>
      <c r="F28" s="58"/>
    </row>
    <row r="29" spans="1:6" x14ac:dyDescent="0.25">
      <c r="A29" s="57"/>
      <c r="B29" s="185"/>
      <c r="C29" s="185"/>
      <c r="D29" s="52"/>
      <c r="E29" s="51"/>
      <c r="F29" s="58"/>
    </row>
    <row r="30" spans="1:6" x14ac:dyDescent="0.25">
      <c r="A30" s="57"/>
      <c r="B30" s="185"/>
      <c r="C30" s="185"/>
      <c r="D30" s="52"/>
      <c r="E30" s="51"/>
      <c r="F30" s="58"/>
    </row>
    <row r="31" spans="1:6" x14ac:dyDescent="0.25">
      <c r="A31" s="57"/>
      <c r="B31" s="185"/>
      <c r="C31" s="185"/>
      <c r="D31" s="52"/>
      <c r="E31" s="51"/>
      <c r="F31" s="58"/>
    </row>
    <row r="32" spans="1:6" x14ac:dyDescent="0.25">
      <c r="A32" s="57"/>
      <c r="B32" s="185"/>
      <c r="C32" s="185"/>
      <c r="D32" s="52"/>
      <c r="E32" s="51"/>
      <c r="F32" s="58"/>
    </row>
    <row r="33" spans="1:6" x14ac:dyDescent="0.25">
      <c r="A33" s="57"/>
      <c r="B33" s="185"/>
      <c r="C33" s="185"/>
      <c r="D33" s="52"/>
      <c r="E33" s="51"/>
      <c r="F33" s="58"/>
    </row>
    <row r="34" spans="1:6" x14ac:dyDescent="0.25">
      <c r="A34" s="57"/>
      <c r="B34" s="185"/>
      <c r="C34" s="185"/>
      <c r="D34" s="52"/>
      <c r="E34" s="51"/>
      <c r="F34" s="58"/>
    </row>
    <row r="35" spans="1:6" x14ac:dyDescent="0.25">
      <c r="A35" s="57"/>
      <c r="B35" s="185"/>
      <c r="C35" s="185"/>
      <c r="D35" s="52"/>
      <c r="E35" s="51"/>
      <c r="F35" s="58"/>
    </row>
    <row r="36" spans="1:6" x14ac:dyDescent="0.25">
      <c r="A36" s="57"/>
      <c r="B36" s="185"/>
      <c r="C36" s="185"/>
      <c r="D36" s="52"/>
      <c r="E36" s="51"/>
      <c r="F36" s="58"/>
    </row>
    <row r="37" spans="1:6" x14ac:dyDescent="0.25">
      <c r="A37" s="57"/>
      <c r="B37" s="185"/>
      <c r="C37" s="185"/>
      <c r="D37" s="52"/>
      <c r="E37" s="51"/>
      <c r="F37" s="58"/>
    </row>
    <row r="38" spans="1:6" ht="15.75" thickBot="1" x14ac:dyDescent="0.3">
      <c r="A38" s="192"/>
      <c r="B38" s="193"/>
      <c r="C38" s="193"/>
      <c r="D38" s="193"/>
      <c r="E38" s="193"/>
      <c r="F38" s="194"/>
    </row>
  </sheetData>
  <mergeCells count="43">
    <mergeCell ref="B19:C19"/>
    <mergeCell ref="B20:C20"/>
    <mergeCell ref="B21:C21"/>
    <mergeCell ref="B22:C22"/>
    <mergeCell ref="C10:D10"/>
    <mergeCell ref="C13:F13"/>
    <mergeCell ref="C14:F14"/>
    <mergeCell ref="A16:C16"/>
    <mergeCell ref="D16:F16"/>
    <mergeCell ref="A10:B10"/>
    <mergeCell ref="C11:D11"/>
    <mergeCell ref="A11:B11"/>
    <mergeCell ref="A12:F12"/>
    <mergeCell ref="A15:F15"/>
    <mergeCell ref="A13:B13"/>
    <mergeCell ref="A14:B14"/>
    <mergeCell ref="A38:F38"/>
    <mergeCell ref="B23:C23"/>
    <mergeCell ref="B28:C28"/>
    <mergeCell ref="B29:C29"/>
    <mergeCell ref="B30:C30"/>
    <mergeCell ref="B32:C32"/>
    <mergeCell ref="B31:C31"/>
    <mergeCell ref="B33:C33"/>
    <mergeCell ref="B34:C34"/>
    <mergeCell ref="B35:C35"/>
    <mergeCell ref="B36:C36"/>
    <mergeCell ref="B37:C37"/>
    <mergeCell ref="B27:C27"/>
    <mergeCell ref="B24:C24"/>
    <mergeCell ref="B25:C25"/>
    <mergeCell ref="B26:C26"/>
    <mergeCell ref="B17:C17"/>
    <mergeCell ref="B18:C18"/>
    <mergeCell ref="A5:F5"/>
    <mergeCell ref="A6:B6"/>
    <mergeCell ref="A7:B7"/>
    <mergeCell ref="A8:B8"/>
    <mergeCell ref="A9:B9"/>
    <mergeCell ref="C6:D6"/>
    <mergeCell ref="C7:D7"/>
    <mergeCell ref="C8:D8"/>
    <mergeCell ref="C9:D9"/>
  </mergeCells>
  <phoneticPr fontId="14" type="noConversion"/>
  <printOptions gridLines="1"/>
  <pageMargins left="0.7" right="0.7" top="0.75" bottom="0.75" header="0.3" footer="0.3"/>
  <pageSetup scale="84" fitToHeight="0"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466F3-437B-4BCB-A13C-593DDDC4C1B8}">
  <sheetPr>
    <pageSetUpPr fitToPage="1"/>
  </sheetPr>
  <dimension ref="A5:M28"/>
  <sheetViews>
    <sheetView showGridLines="0" workbookViewId="0">
      <selection activeCell="B11" sqref="B11:C11"/>
    </sheetView>
  </sheetViews>
  <sheetFormatPr baseColWidth="10" defaultColWidth="11.42578125" defaultRowHeight="15" x14ac:dyDescent="0.25"/>
  <cols>
    <col min="1" max="1" width="6.85546875" bestFit="1" customWidth="1"/>
    <col min="2" max="2" width="13.5703125" customWidth="1"/>
    <col min="3" max="3" width="18.28515625" customWidth="1"/>
    <col min="4" max="4" width="5.7109375" customWidth="1"/>
    <col min="5" max="5" width="5.5703125" customWidth="1"/>
    <col min="6" max="6" width="6.7109375" customWidth="1"/>
    <col min="7" max="7" width="5.85546875" customWidth="1"/>
    <col min="8" max="8" width="5.7109375" customWidth="1"/>
    <col min="9" max="9" width="5.140625" customWidth="1"/>
    <col min="10" max="10" width="5.7109375" customWidth="1"/>
    <col min="13" max="13" width="28.5703125" customWidth="1"/>
  </cols>
  <sheetData>
    <row r="5" spans="1:13" ht="19.149999999999999" customHeight="1" x14ac:dyDescent="0.25">
      <c r="A5" s="197" t="s">
        <v>305</v>
      </c>
      <c r="B5" s="198"/>
      <c r="C5" s="198"/>
      <c r="D5" s="198"/>
      <c r="E5" s="198"/>
      <c r="F5" s="198"/>
      <c r="G5" s="198"/>
      <c r="H5" s="198"/>
      <c r="I5" s="198"/>
      <c r="J5" s="198"/>
      <c r="L5" t="s">
        <v>315</v>
      </c>
      <c r="M5" t="s">
        <v>316</v>
      </c>
    </row>
    <row r="6" spans="1:13" ht="19.149999999999999" customHeight="1" thickBot="1" x14ac:dyDescent="0.3">
      <c r="A6" s="60"/>
      <c r="B6" s="60"/>
      <c r="C6" s="60"/>
      <c r="D6" s="60"/>
      <c r="E6" s="60"/>
      <c r="L6" t="s">
        <v>314</v>
      </c>
      <c r="M6" t="s">
        <v>317</v>
      </c>
    </row>
    <row r="7" spans="1:13" x14ac:dyDescent="0.25">
      <c r="A7" s="61" t="s">
        <v>20</v>
      </c>
      <c r="B7" s="175" t="s">
        <v>306</v>
      </c>
      <c r="C7" s="175"/>
      <c r="D7" s="20" t="inlineStr">
        <is>
          <t xml:space="preserve">ERP (SICOF)</t>
        </is>
      </c>
      <c r="E7" s="20" t="inlineStr">
        <is>
          <t xml:space="preserve">Mesa de ayuda (OTRS, GLPI)</t>
        </is>
      </c>
      <c r="F7" s="20" t="inlineStr">
        <is>
          <t xml:space="preserve">FURAG y Power BI</t>
        </is>
      </c>
      <c r="G7" s="20" t="inlineStr">
        <is>
          <t xml:space="preserve">Sitio web e intranet</t>
        </is>
      </c>
      <c r="H7" s="20" t="inlineStr">
        <is>
          <t xml:space="preserve">Telefonía IP y contact center</t>
        </is>
      </c>
      <c r="I7" s="20" t="inlineStr">
        <is>
          <t xml:space="preserve">SECOP y Gestión Transparente</t>
        </is>
      </c>
      <c r="J7" s="21" t="inlineStr">
        <is>
          <t xml:space="preserve">Office 365, Visio, Project y Carriel</t>
        </is>
      </c>
    </row>
    <row r="8" spans="1:13" x14ac:dyDescent="0.25">
      <c r="A8" s="57" t="inlineStr">
        <is>
          <t xml:space="preserve">PE01</t>
        </is>
      </c>
      <c r="B8" s="185" t="inlineStr">
        <is>
          <t xml:space="preserve">Gestión de la estrategia institucional (transversal)</t>
        </is>
      </c>
      <c r="C8" s="185"/>
      <c r="D8" s="51"/>
      <c r="E8" s="51"/>
      <c r="F8" s="51" t="inlineStr">
        <is>
          <t xml:space="preserve">P</t>
        </is>
      </c>
      <c r="G8" s="51"/>
      <c r="H8" s="51"/>
      <c r="I8" s="51" t="inlineStr">
        <is>
          <t xml:space="preserve">P</t>
        </is>
      </c>
      <c r="J8" s="58"/>
    </row>
    <row r="9" spans="1:13" x14ac:dyDescent="0.25">
      <c r="A9" s="57" t="inlineStr">
        <is>
          <t xml:space="preserve">PE02</t>
        </is>
      </c>
      <c r="B9" s="185" t="inlineStr">
        <is>
          <t xml:space="preserve">Gestión del riesgo y continuidad</t>
        </is>
      </c>
      <c r="C9" s="185"/>
      <c r="D9" s="51"/>
      <c r="E9" s="51"/>
      <c r="F9" s="51"/>
      <c r="G9" s="51"/>
      <c r="H9" s="51"/>
      <c r="I9" s="51"/>
      <c r="J9" s="58"/>
    </row>
    <row r="10" spans="1:13" x14ac:dyDescent="0.25">
      <c r="A10" s="57" t="inlineStr">
        <is>
          <t xml:space="preserve">PE03</t>
        </is>
      </c>
      <c r="B10" s="185" t="inlineStr">
        <is>
          <t xml:space="preserve">Gestión de proyectos</t>
        </is>
      </c>
      <c r="C10" s="185"/>
      <c r="D10" s="51"/>
      <c r="E10" s="51"/>
      <c r="F10" s="51"/>
      <c r="G10" s="51"/>
      <c r="H10" s="51"/>
      <c r="I10" s="51"/>
      <c r="J10" s="58" t="inlineStr">
        <is>
          <t xml:space="preserve">P</t>
        </is>
      </c>
    </row>
    <row r="11" spans="1:13" x14ac:dyDescent="0.25">
      <c r="A11" s="57" t="inlineStr">
        <is>
          <t xml:space="preserve">PE04</t>
        </is>
      </c>
      <c r="B11" s="185" t="inlineStr">
        <is>
          <t xml:space="preserve">Gestión del capital humano</t>
        </is>
      </c>
      <c r="C11" s="185"/>
      <c r="D11" s="51" t="inlineStr">
        <is>
          <t xml:space="preserve">P</t>
        </is>
      </c>
      <c r="E11" s="51"/>
      <c r="F11" s="51"/>
      <c r="G11" s="51"/>
      <c r="H11" s="51"/>
      <c r="I11" s="51"/>
      <c r="J11" s="58"/>
    </row>
    <row r="12" spans="1:13" x14ac:dyDescent="0.25">
      <c r="A12" s="57" t="inlineStr">
        <is>
          <t xml:space="preserve">PE05</t>
        </is>
      </c>
      <c r="B12" s="185" t="inlineStr">
        <is>
          <t xml:space="preserve">Gestión del conocimiento e innovación</t>
        </is>
      </c>
      <c r="C12" s="185"/>
      <c r="D12" s="51"/>
      <c r="E12" s="51"/>
      <c r="F12" s="51"/>
      <c r="G12" s="51" t="inlineStr">
        <is>
          <t xml:space="preserve">P</t>
        </is>
      </c>
      <c r="H12" s="51"/>
      <c r="I12" s="51"/>
      <c r="J12" s="58" t="inlineStr">
        <is>
          <t xml:space="preserve">P</t>
        </is>
      </c>
    </row>
    <row r="13" spans="1:13" x14ac:dyDescent="0.25">
      <c r="A13" s="57" t="inlineStr">
        <is>
          <t xml:space="preserve">PE06</t>
        </is>
      </c>
      <c r="B13" s="185" t="inlineStr">
        <is>
          <t xml:space="preserve">Gestión de la arquitectura empresarial (transversal)</t>
        </is>
      </c>
      <c r="C13" s="185"/>
      <c r="D13" s="51"/>
      <c r="E13" s="51"/>
      <c r="F13" s="51"/>
      <c r="G13" s="51"/>
      <c r="H13" s="51"/>
      <c r="I13" s="51"/>
      <c r="J13" s="58" t="inlineStr">
        <is>
          <t xml:space="preserve">P</t>
        </is>
      </c>
    </row>
    <row r="14" spans="1:13" x14ac:dyDescent="0.25">
      <c r="A14" s="57" t="inlineStr">
        <is>
          <t xml:space="preserve">PM01</t>
        </is>
      </c>
      <c r="B14" s="185" t="inlineStr">
        <is>
          <t xml:space="preserve">Gestión de TI (Gerencia de Tecnología, Innovación y Sostenibilidad)</t>
        </is>
      </c>
      <c r="C14" s="185"/>
      <c r="D14" s="51"/>
      <c r="E14" s="51" t="inlineStr">
        <is>
          <t xml:space="preserve">P</t>
        </is>
      </c>
      <c r="F14" s="51"/>
      <c r="G14" s="51"/>
      <c r="H14" s="51"/>
      <c r="I14" s="51"/>
      <c r="J14" s="58"/>
    </row>
    <row r="15" spans="1:13" x14ac:dyDescent="0.25">
      <c r="A15" s="57" t="inlineStr">
        <is>
          <t xml:space="preserve">PM02</t>
        </is>
      </c>
      <c r="B15" s="185" t="inlineStr">
        <is>
          <t xml:space="preserve">Gestión comercial</t>
        </is>
      </c>
      <c r="C15" s="185"/>
      <c r="D15" s="51"/>
      <c r="E15" s="51"/>
      <c r="F15" s="51"/>
      <c r="G15" s="51"/>
      <c r="H15" s="51"/>
      <c r="I15" s="51"/>
      <c r="J15" s="58"/>
    </row>
    <row r="16" spans="1:13" x14ac:dyDescent="0.25">
      <c r="A16" s="57" t="inlineStr">
        <is>
          <t xml:space="preserve">PM03</t>
        </is>
      </c>
      <c r="B16" s="185" t="inlineStr">
        <is>
          <t xml:space="preserve">Gestión del servicio</t>
        </is>
      </c>
      <c r="C16" s="185"/>
      <c r="D16" s="51"/>
      <c r="E16" s="51"/>
      <c r="F16" s="51"/>
      <c r="G16" s="51"/>
      <c r="H16" s="51" t="inlineStr">
        <is>
          <t xml:space="preserve">P</t>
        </is>
      </c>
      <c r="I16" s="51"/>
      <c r="J16" s="58"/>
    </row>
    <row r="17" spans="1:10" x14ac:dyDescent="0.25">
      <c r="A17" s="57" t="inlineStr">
        <is>
          <t xml:space="preserve">PA01</t>
        </is>
      </c>
      <c r="B17" s="185" t="inlineStr">
        <is>
          <t xml:space="preserve">Gestión contractual</t>
        </is>
      </c>
      <c r="C17" s="185"/>
      <c r="D17" s="51"/>
      <c r="E17" s="51"/>
      <c r="F17" s="51"/>
      <c r="G17" s="51"/>
      <c r="H17" s="51"/>
      <c r="I17" s="51" t="inlineStr">
        <is>
          <t xml:space="preserve">P</t>
        </is>
      </c>
      <c r="J17" s="58"/>
    </row>
    <row r="18" spans="1:10" x14ac:dyDescent="0.25">
      <c r="A18" s="57" t="inlineStr">
        <is>
          <t xml:space="preserve">PA02</t>
        </is>
      </c>
      <c r="B18" s="185" t="inlineStr">
        <is>
          <t xml:space="preserve">Gestión de compras</t>
        </is>
      </c>
      <c r="C18" s="185"/>
      <c r="D18" s="51"/>
      <c r="E18" s="51"/>
      <c r="F18" s="51"/>
      <c r="G18" s="51"/>
      <c r="H18" s="51"/>
      <c r="I18" s="51" t="inlineStr">
        <is>
          <t xml:space="preserve">P</t>
        </is>
      </c>
      <c r="J18" s="58"/>
    </row>
    <row r="19" spans="1:10" x14ac:dyDescent="0.25">
      <c r="A19" s="57" t="inlineStr">
        <is>
          <t xml:space="preserve">PA03</t>
        </is>
      </c>
      <c r="B19" s="185" t="inlineStr">
        <is>
          <t xml:space="preserve">Gestión de comunicaciones</t>
        </is>
      </c>
      <c r="C19" s="185"/>
      <c r="D19" s="51"/>
      <c r="E19" s="51"/>
      <c r="F19" s="51"/>
      <c r="G19" s="51" t="inlineStr">
        <is>
          <t xml:space="preserve">T</t>
        </is>
      </c>
      <c r="H19" s="51"/>
      <c r="I19" s="51"/>
      <c r="J19" s="58"/>
    </row>
    <row r="20" spans="1:10" x14ac:dyDescent="0.25">
      <c r="A20" s="57" t="inlineStr">
        <is>
          <t xml:space="preserve">PA04</t>
        </is>
      </c>
      <c r="B20" s="185" t="inlineStr">
        <is>
          <t xml:space="preserve">Gestión jurídica</t>
        </is>
      </c>
      <c r="C20" s="185"/>
      <c r="D20" s="51"/>
      <c r="E20" s="51"/>
      <c r="F20" s="51"/>
      <c r="G20" s="51"/>
      <c r="H20" s="51"/>
      <c r="I20" s="51"/>
      <c r="J20" s="58"/>
    </row>
    <row r="21" spans="1:10" x14ac:dyDescent="0.25">
      <c r="A21" s="57" t="inlineStr">
        <is>
          <t xml:space="preserve">PA05</t>
        </is>
      </c>
      <c r="B21" s="185" t="inlineStr">
        <is>
          <t xml:space="preserve">Gestión administrativa</t>
        </is>
      </c>
      <c r="C21" s="185"/>
      <c r="D21" s="51"/>
      <c r="E21" s="51"/>
      <c r="F21" s="51"/>
      <c r="G21" s="51"/>
      <c r="H21" s="51"/>
      <c r="I21" s="51"/>
      <c r="J21" s="58" t="inlineStr">
        <is>
          <t xml:space="preserve">P</t>
        </is>
      </c>
    </row>
    <row r="22" spans="1:10" x14ac:dyDescent="0.25">
      <c r="A22" s="57" t="inlineStr">
        <is>
          <t xml:space="preserve">PA06</t>
        </is>
      </c>
      <c r="B22" s="185" t="inlineStr">
        <is>
          <t xml:space="preserve">Gestión financiera</t>
        </is>
      </c>
      <c r="C22" s="185"/>
      <c r="D22" s="51" t="inlineStr">
        <is>
          <t xml:space="preserve">T</t>
        </is>
      </c>
      <c r="E22" s="51"/>
      <c r="F22" s="51"/>
      <c r="G22" s="51"/>
      <c r="H22" s="51"/>
      <c r="I22" s="51"/>
      <c r="J22" s="58"/>
    </row>
    <row r="23" spans="1:10" x14ac:dyDescent="0.25">
      <c r="A23" s="57" t="inlineStr">
        <is>
          <t xml:space="preserve">PV01</t>
        </is>
      </c>
      <c r="B23" s="185" t="inlineStr">
        <is>
          <t xml:space="preserve">Gestión de seguimiento, control y evaluación a la gestión</t>
        </is>
      </c>
      <c r="C23" s="185"/>
      <c r="D23" s="51"/>
      <c r="E23" s="51"/>
      <c r="F23" s="51"/>
      <c r="G23" s="51"/>
      <c r="H23" s="51"/>
      <c r="I23" s="51" t="inlineStr">
        <is>
          <t xml:space="preserve">P</t>
        </is>
      </c>
      <c r="J23" s="58"/>
    </row>
    <row r="24" spans="1:10" x14ac:dyDescent="0.25">
      <c r="A24" s="57"/>
      <c r="B24" s="185"/>
      <c r="C24" s="185"/>
      <c r="D24" s="51"/>
      <c r="E24" s="51"/>
      <c r="F24" s="51"/>
      <c r="G24" s="51"/>
      <c r="H24" s="51"/>
      <c r="I24" s="51"/>
      <c r="J24" s="58"/>
    </row>
    <row r="25" spans="1:10" x14ac:dyDescent="0.25">
      <c r="A25" s="57"/>
      <c r="B25" s="185"/>
      <c r="C25" s="185"/>
      <c r="D25" s="51"/>
      <c r="E25" s="51"/>
      <c r="F25" s="51"/>
      <c r="G25" s="51"/>
      <c r="H25" s="51"/>
      <c r="I25" s="51"/>
      <c r="J25" s="58"/>
    </row>
    <row r="26" spans="1:10" x14ac:dyDescent="0.25">
      <c r="A26" s="57"/>
      <c r="B26" s="185"/>
      <c r="C26" s="185"/>
      <c r="D26" s="51"/>
      <c r="E26" s="51"/>
      <c r="F26" s="51"/>
      <c r="G26" s="51"/>
      <c r="H26" s="51"/>
      <c r="I26" s="51"/>
      <c r="J26" s="58"/>
    </row>
    <row r="27" spans="1:10" ht="15.75" thickBot="1" x14ac:dyDescent="0.3">
      <c r="A27" s="62"/>
      <c r="B27" s="193"/>
      <c r="C27" s="193"/>
      <c r="D27" s="63"/>
      <c r="E27" s="63"/>
      <c r="F27" s="63"/>
      <c r="G27" s="63"/>
      <c r="H27" s="63"/>
      <c r="I27" s="63"/>
      <c r="J27" s="64"/>
    </row>
    <row r="28" spans="1:10" thickBot="1" x14ac:dyDescent="0.3">
      <c r="A28" s="199" t="inlineStr">
        <is>
          <t xml:space="preserve">Fuente: elaboración del equipo a partir de la alineación de TI con los procesos (numeral 5.1.5). PE02, PM02 y PA04 no tienen sistema</t>
        </is>
      </c>
      <c r="B28" s="200"/>
      <c r="C28" s="200"/>
      <c r="D28" s="200"/>
      <c r="E28" s="201"/>
    </row>
  </sheetData>
  <mergeCells count="23">
    <mergeCell ref="A28:E28"/>
    <mergeCell ref="B17:C17"/>
    <mergeCell ref="B18:C18"/>
    <mergeCell ref="B19:C19"/>
    <mergeCell ref="B20:C20"/>
    <mergeCell ref="B21:C21"/>
    <mergeCell ref="B22:C22"/>
    <mergeCell ref="B23:C23"/>
    <mergeCell ref="B24:C24"/>
    <mergeCell ref="B25:C25"/>
    <mergeCell ref="B26:C26"/>
    <mergeCell ref="B27:C27"/>
    <mergeCell ref="A5:J5"/>
    <mergeCell ref="B16:C16"/>
    <mergeCell ref="B7:C7"/>
    <mergeCell ref="B8:C8"/>
    <mergeCell ref="B9:C9"/>
    <mergeCell ref="B10:C10"/>
    <mergeCell ref="B11:C11"/>
    <mergeCell ref="B12:C12"/>
    <mergeCell ref="B13:C13"/>
    <mergeCell ref="B14:C14"/>
    <mergeCell ref="B15:C15"/>
  </mergeCells>
  <phoneticPr fontId="14" type="noConversion"/>
  <printOptions gridLines="1"/>
  <pageMargins left="0.7" right="0.7" top="0.75" bottom="0.75" header="0.3" footer="0.3"/>
  <pageSetup scale="63" fitToHeight="0"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236FC-AD8B-4FD3-8E67-07751907B340}">
  <sheetPr>
    <pageSetUpPr fitToPage="1"/>
  </sheetPr>
  <dimension ref="A6:AA28"/>
  <sheetViews>
    <sheetView showGridLines="0" zoomScale="85" zoomScaleNormal="85" workbookViewId="0">
      <selection activeCell="H14" sqref="H14"/>
    </sheetView>
  </sheetViews>
  <sheetFormatPr baseColWidth="10" defaultColWidth="11.42578125" defaultRowHeight="15" x14ac:dyDescent="0.25"/>
  <cols>
    <col min="1" max="1" width="9" style="2" customWidth="1"/>
    <col min="2" max="2" width="14.85546875" style="2" customWidth="1"/>
    <col min="3" max="3" width="16.42578125" style="2" customWidth="1"/>
    <col min="4" max="4" width="14.85546875" style="2" customWidth="1"/>
    <col min="5" max="5" width="19.28515625" style="2" customWidth="1"/>
    <col min="6" max="8" width="14.85546875" style="2" customWidth="1"/>
    <col min="9" max="9" width="22.5703125" style="2" customWidth="1"/>
    <col min="10" max="10" width="17.42578125" customWidth="1"/>
    <col min="11" max="11" width="9.7109375" bestFit="1" customWidth="1"/>
    <col min="12" max="12" width="10.7109375" style="4" bestFit="1" customWidth="1"/>
    <col min="13" max="13" width="8.5703125" bestFit="1" customWidth="1"/>
    <col min="14" max="14" width="10.85546875" bestFit="1" customWidth="1"/>
    <col min="15" max="15" width="8.42578125" bestFit="1" customWidth="1"/>
    <col min="16" max="16" width="12.28515625" bestFit="1" customWidth="1"/>
    <col min="17" max="17" width="11.7109375" bestFit="1" customWidth="1"/>
    <col min="18" max="18" width="9.5703125" bestFit="1" customWidth="1"/>
    <col min="19" max="19" width="14.140625" customWidth="1"/>
    <col min="20" max="27" width="4.5703125" bestFit="1" customWidth="1"/>
  </cols>
  <sheetData>
    <row r="6" spans="1:27" ht="19.149999999999999" customHeight="1" thickBot="1" x14ac:dyDescent="0.3">
      <c r="A6" s="169" t="s">
        <v>337</v>
      </c>
      <c r="B6" s="169"/>
      <c r="C6" s="169"/>
      <c r="D6" s="169"/>
      <c r="E6" s="169"/>
      <c r="F6" s="169"/>
      <c r="G6" s="169"/>
      <c r="H6" s="169"/>
      <c r="I6" s="169"/>
      <c r="J6" s="169"/>
      <c r="K6" s="169"/>
      <c r="L6" s="169"/>
      <c r="M6" s="169"/>
      <c r="N6" s="169"/>
      <c r="O6" s="169"/>
      <c r="P6" s="169"/>
      <c r="Q6" s="169"/>
      <c r="R6" s="169"/>
      <c r="S6" s="169"/>
      <c r="T6" s="169"/>
      <c r="U6" s="169"/>
      <c r="V6" s="169"/>
      <c r="W6" s="169"/>
      <c r="X6" s="169"/>
      <c r="Y6" s="169"/>
      <c r="Z6" s="169"/>
      <c r="AA6" s="169"/>
    </row>
    <row r="7" spans="1:27" ht="19.149999999999999" customHeight="1" thickBot="1" x14ac:dyDescent="0.3">
      <c r="A7" s="204" t="s">
        <v>340</v>
      </c>
      <c r="B7" s="205"/>
      <c r="C7" s="205"/>
      <c r="D7" s="205"/>
      <c r="E7" s="205"/>
      <c r="F7" s="205"/>
      <c r="G7" s="205"/>
      <c r="H7" s="205"/>
      <c r="I7" s="206"/>
      <c r="J7" s="202" t="s">
        <v>27</v>
      </c>
      <c r="K7" s="202"/>
      <c r="L7" s="202"/>
      <c r="M7" s="202"/>
      <c r="N7" s="202"/>
      <c r="O7" s="202"/>
      <c r="P7" s="202"/>
      <c r="Q7" s="202"/>
      <c r="R7" s="202"/>
      <c r="S7" s="203"/>
      <c r="T7" s="204" t="s">
        <v>28</v>
      </c>
      <c r="U7" s="205"/>
      <c r="V7" s="205"/>
      <c r="W7" s="205"/>
      <c r="X7" s="205"/>
      <c r="Y7" s="205"/>
      <c r="Z7" s="205"/>
      <c r="AA7" s="206"/>
    </row>
    <row r="8" spans="1:27" s="1" customFormat="1" ht="76.900000000000006" customHeight="1" x14ac:dyDescent="0.25">
      <c r="A8" s="53" t="s">
        <v>20</v>
      </c>
      <c r="B8" s="17" t="s">
        <v>338</v>
      </c>
      <c r="C8" s="17" t="s">
        <v>339</v>
      </c>
      <c r="D8" s="17" t="s">
        <v>341</v>
      </c>
      <c r="E8" s="17" t="s">
        <v>335</v>
      </c>
      <c r="F8" s="17" t="s">
        <v>29</v>
      </c>
      <c r="G8" s="17" t="s">
        <v>30</v>
      </c>
      <c r="H8" s="17" t="s">
        <v>336</v>
      </c>
      <c r="I8" s="83" t="s">
        <v>322</v>
      </c>
      <c r="J8" s="82" t="s">
        <v>333</v>
      </c>
      <c r="K8" s="74" t="s">
        <v>31</v>
      </c>
      <c r="L8" s="74" t="s">
        <v>32</v>
      </c>
      <c r="M8" s="74" t="s">
        <v>33</v>
      </c>
      <c r="N8" s="74" t="s">
        <v>34</v>
      </c>
      <c r="O8" s="74" t="s">
        <v>35</v>
      </c>
      <c r="P8" s="74" t="s">
        <v>36</v>
      </c>
      <c r="Q8" s="74" t="s">
        <v>37</v>
      </c>
      <c r="R8" s="74" t="s">
        <v>38</v>
      </c>
      <c r="S8" s="80" t="s">
        <v>334</v>
      </c>
      <c r="T8" s="81" t="s">
        <v>39</v>
      </c>
      <c r="U8" s="75" t="s">
        <v>40</v>
      </c>
      <c r="V8" s="75" t="s">
        <v>41</v>
      </c>
      <c r="W8" s="75" t="s">
        <v>42</v>
      </c>
      <c r="X8" s="75" t="s">
        <v>43</v>
      </c>
      <c r="Y8" s="75" t="s">
        <v>44</v>
      </c>
      <c r="Z8" s="75" t="s">
        <v>45</v>
      </c>
      <c r="AA8" s="76" t="s">
        <v>46</v>
      </c>
    </row>
    <row r="9" spans="1:27" x14ac:dyDescent="0.25">
      <c r="A9" s="65" t="inlineStr">
        <is>
          <t xml:space="preserve">S01</t>
        </is>
      </c>
      <c r="B9" s="66" t="inlineStr">
        <is>
          <t xml:space="preserve">Estrategias tecnológicas del recaudo</t>
        </is>
      </c>
      <c r="C9" s="66" t="inlineStr">
        <is>
          <t xml:space="preserve">Impuesto vehicular de Antioquia, Tasa de Seguridad y Convivencia, cobro para Hacienda y Movilidad de Medellín. Rol de la TI: Opera los sistemas contratados para el cliente y la telefonía del contact center</t>
        </is>
      </c>
      <c r="D9" s="66" t="inlineStr">
        <is>
          <t xml:space="preserve">Servicio</t>
        </is>
      </c>
      <c r="E9" s="66" t="inlineStr">
        <is>
          <t xml:space="preserve">N (Valor+ no tiene trámites para la ciudadanía)</t>
        </is>
      </c>
      <c r="F9" s="66" t="inlineStr">
        <is>
          <t xml:space="preserve">Gerencia de Operaciones; Gerencia de TI</t>
        </is>
      </c>
      <c r="G9" s="66" t="inlineStr">
        <is>
          <t xml:space="preserve">Entidades públicas (Gobernación, Medellín, Envigado)</t>
        </is>
      </c>
      <c r="H9" s="66" t="inlineStr">
        <is>
          <t xml:space="preserve">Contratos con cada entidad; Ley 1150 de 2007, art. 14</t>
        </is>
      </c>
      <c r="I9" s="67" t="inlineStr">
        <is>
          <t xml:space="preserve">PM03, PM01</t>
        </is>
      </c>
      <c r="J9" s="77" t="inlineStr">
        <is>
          <t xml:space="preserve">Sin dato público</t>
        </is>
      </c>
      <c r="K9" s="66" t="inlineStr">
        <is>
          <t xml:space="preserve">Sin dato público</t>
        </is>
      </c>
      <c r="L9" s="66" t="inlineStr">
        <is>
          <t xml:space="preserve">Sin dato público</t>
        </is>
      </c>
      <c r="M9" s="66" t="inlineStr">
        <is>
          <t xml:space="preserve">Sin dato público</t>
        </is>
      </c>
      <c r="N9" s="66" t="inlineStr">
        <is>
          <t xml:space="preserve">Sin dato público</t>
        </is>
      </c>
      <c r="O9" s="66" t="inlineStr">
        <is>
          <t xml:space="preserve">Sin dato público</t>
        </is>
      </c>
      <c r="P9" s="66" t="inlineStr">
        <is>
          <t xml:space="preserve">Sin dato público</t>
        </is>
      </c>
      <c r="Q9" s="66" t="inlineStr">
        <is>
          <t xml:space="preserve">Sin dato público</t>
        </is>
      </c>
      <c r="R9" s="66" t="inlineStr">
        <is>
          <t xml:space="preserve">Sin dato público</t>
        </is>
      </c>
      <c r="S9" s="67" t="inlineStr">
        <is>
          <t xml:space="preserve">Parcialmente automatizado y en linea</t>
        </is>
      </c>
      <c r="T9" s="65" t="inlineStr">
        <is>
          <t xml:space="preserve">Contact center</t>
        </is>
      </c>
      <c r="U9" s="66" t="inlineStr">
        <is>
          <t xml:space="preserve">Correo</t>
        </is>
      </c>
      <c r="V9" s="66" t="inlineStr">
        <is>
          <t xml:space="preserve">SMS e IVR</t>
        </is>
      </c>
      <c r="W9" s="66" t="inlineStr">
        <is>
          <t xml:space="preserve">Puntos de atención</t>
        </is>
      </c>
      <c r="X9" s="66"/>
      <c r="Y9" s="66"/>
      <c r="Z9" s="66"/>
      <c r="AA9" s="67"/>
    </row>
    <row r="10" spans="1:27" x14ac:dyDescent="0.25">
      <c r="A10" s="68" t="inlineStr">
        <is>
          <t xml:space="preserve">S02</t>
        </is>
      </c>
      <c r="B10" s="69" t="inlineStr">
        <is>
          <t xml:space="preserve">Automatización de la información</t>
        </is>
      </c>
      <c r="C10" s="69" t="inlineStr">
        <is>
          <t xml:space="preserve">Gestión documental para la Gobernación, el IDEA, Envigado y el Pascual Bravo; catastro departamental. Rol de la TI: Software de gestión documental (Carriel) y aplicación catastral en nube privada</t>
        </is>
      </c>
      <c r="D10" s="69" t="inlineStr">
        <is>
          <t xml:space="preserve">Servicio</t>
        </is>
      </c>
      <c r="E10" s="69" t="inlineStr">
        <is>
          <t xml:space="preserve">N (Valor+ no tiene trámites para la ciudadanía)</t>
        </is>
      </c>
      <c r="F10" s="69" t="inlineStr">
        <is>
          <t xml:space="preserve">Gerencia de Operaciones; Gestión Documental; Gerencia de TI</t>
        </is>
      </c>
      <c r="G10" s="69" t="inlineStr">
        <is>
          <t xml:space="preserve">IDEA, Indeportes, Gobernación, Envigado, Pascual Bravo</t>
        </is>
      </c>
      <c r="H10" s="69" t="inlineStr">
        <is>
          <t xml:space="preserve">Ley 594 de 2000; Acuerdo 001 de 2024 del AGN</t>
        </is>
      </c>
      <c r="I10" s="70" t="inlineStr">
        <is>
          <t xml:space="preserve">PM03, PA05</t>
        </is>
      </c>
      <c r="J10" s="78" t="inlineStr">
        <is>
          <t xml:space="preserve">Sin dato público</t>
        </is>
      </c>
      <c r="K10" s="69" t="inlineStr">
        <is>
          <t xml:space="preserve">Sin dato público</t>
        </is>
      </c>
      <c r="L10" s="69" t="inlineStr">
        <is>
          <t xml:space="preserve">Sin dato público</t>
        </is>
      </c>
      <c r="M10" s="69" t="inlineStr">
        <is>
          <t xml:space="preserve">Sin dato público</t>
        </is>
      </c>
      <c r="N10" s="69" t="inlineStr">
        <is>
          <t xml:space="preserve">Sin dato público</t>
        </is>
      </c>
      <c r="O10" s="69" t="inlineStr">
        <is>
          <t xml:space="preserve">Sin dato público</t>
        </is>
      </c>
      <c r="P10" s="69" t="inlineStr">
        <is>
          <t xml:space="preserve">Sin dato público</t>
        </is>
      </c>
      <c r="Q10" s="69" t="inlineStr">
        <is>
          <t xml:space="preserve">Sin dato público</t>
        </is>
      </c>
      <c r="R10" s="69" t="inlineStr">
        <is>
          <t xml:space="preserve">Sin dato público</t>
        </is>
      </c>
      <c r="S10" s="70" t="inlineStr">
        <is>
          <t xml:space="preserve">Parcialmente automatizado</t>
        </is>
      </c>
      <c r="T10" s="68" t="inlineStr">
        <is>
          <t xml:space="preserve">Mesa de ayuda</t>
        </is>
      </c>
      <c r="U10" s="69" t="inlineStr">
        <is>
          <t xml:space="preserve">Correo</t>
        </is>
      </c>
      <c r="V10" s="69" t="inlineStr">
        <is>
          <t xml:space="preserve">Atención en sede del cliente</t>
        </is>
      </c>
      <c r="W10" s="69"/>
      <c r="X10" s="69"/>
      <c r="Y10" s="69"/>
      <c r="Z10" s="69"/>
      <c r="AA10" s="70"/>
    </row>
    <row r="11" spans="1:27" x14ac:dyDescent="0.25">
      <c r="A11" s="65" t="inlineStr">
        <is>
          <t xml:space="preserve">S03</t>
        </is>
      </c>
      <c r="B11" s="66" t="inlineStr">
        <is>
          <t xml:space="preserve">Estructuración y gerenciamiento de proyectos</t>
        </is>
      </c>
      <c r="C11" s="66" t="inlineStr">
        <is>
          <t xml:space="preserve">Proyectos para el departamento y municipios. Rol de la TI: Acompañamiento técnico en proyectos con componente de TI</t>
        </is>
      </c>
      <c r="D11" s="66" t="inlineStr">
        <is>
          <t xml:space="preserve">Servicio</t>
        </is>
      </c>
      <c r="E11" s="66" t="inlineStr">
        <is>
          <t xml:space="preserve">N (Valor+ no tiene trámites para la ciudadanía)</t>
        </is>
      </c>
      <c r="F11" s="66" t="inlineStr">
        <is>
          <t xml:space="preserve">Dirección de Planeación y Proyectos</t>
        </is>
      </c>
      <c r="G11" s="66" t="inlineStr">
        <is>
          <t xml:space="preserve">Gobernación y municipios</t>
        </is>
      </c>
      <c r="H11" s="66" t="inlineStr">
        <is>
          <t xml:space="preserve">Contratos con cada entidad</t>
        </is>
      </c>
      <c r="I11" s="67" t="inlineStr">
        <is>
          <t xml:space="preserve">PE03</t>
        </is>
      </c>
      <c r="J11" s="77" t="inlineStr">
        <is>
          <t xml:space="preserve">Sin dato público</t>
        </is>
      </c>
      <c r="K11" s="66" t="inlineStr">
        <is>
          <t xml:space="preserve">Sin dato público</t>
        </is>
      </c>
      <c r="L11" s="66" t="inlineStr">
        <is>
          <t xml:space="preserve">Sin dato público</t>
        </is>
      </c>
      <c r="M11" s="66" t="inlineStr">
        <is>
          <t xml:space="preserve">Sin dato público</t>
        </is>
      </c>
      <c r="N11" s="66" t="inlineStr">
        <is>
          <t xml:space="preserve">Sin dato público</t>
        </is>
      </c>
      <c r="O11" s="66" t="inlineStr">
        <is>
          <t xml:space="preserve">Sin dato público</t>
        </is>
      </c>
      <c r="P11" s="66" t="inlineStr">
        <is>
          <t xml:space="preserve">Sin dato público</t>
        </is>
      </c>
      <c r="Q11" s="66" t="inlineStr">
        <is>
          <t xml:space="preserve">Sin dato público</t>
        </is>
      </c>
      <c r="R11" s="66" t="inlineStr">
        <is>
          <t xml:space="preserve">Sin dato público</t>
        </is>
      </c>
      <c r="S11" s="67" t="inlineStr">
        <is>
          <t xml:space="preserve">Totalmente manual</t>
        </is>
      </c>
      <c r="T11" s="65" t="inlineStr">
        <is>
          <t xml:space="preserve">Reuniones</t>
        </is>
      </c>
      <c r="U11" s="66" t="inlineStr">
        <is>
          <t xml:space="preserve">Correo</t>
        </is>
      </c>
      <c r="V11" s="66"/>
      <c r="W11" s="66"/>
      <c r="X11" s="66"/>
      <c r="Y11" s="66"/>
      <c r="Z11" s="66"/>
      <c r="AA11" s="67"/>
    </row>
    <row r="12" spans="1:27" x14ac:dyDescent="0.25">
      <c r="A12" s="68" t="inlineStr">
        <is>
          <t xml:space="preserve">S04</t>
        </is>
      </c>
      <c r="B12" s="69" t="inlineStr">
        <is>
          <t xml:space="preserve">Soluciones tecnológicas y consultoría especializada</t>
        </is>
      </c>
      <c r="C12" s="69" t="inlineStr">
        <is>
          <t xml:space="preserve">Mesas de servicio (Gobernación, IDEA, Ferrocarril de Antioquia), conectividad, desarrollo de software, Office 365 para Crediantioquia. Rol de la TI: Presta el servicio directamente: es el núcleo del catálogo de servicios de TI</t>
        </is>
      </c>
      <c r="D12" s="69" t="inlineStr">
        <is>
          <t xml:space="preserve">Servicio</t>
        </is>
      </c>
      <c r="E12" s="69" t="inlineStr">
        <is>
          <t xml:space="preserve">N (Valor+ no tiene trámites para la ciudadanía)</t>
        </is>
      </c>
      <c r="F12" s="69" t="inlineStr">
        <is>
          <t xml:space="preserve">Gerencia de TI; Dirección Comercial</t>
        </is>
      </c>
      <c r="G12" s="69" t="inlineStr">
        <is>
          <t xml:space="preserve">Gobernación, IDEA, Ferrocarril de Antioquia, Lotería de Medellín, Crediantioquia</t>
        </is>
      </c>
      <c r="H12" s="69" t="inlineStr">
        <is>
          <t xml:space="preserve">Contratos con ANS; Decreto 767 de 2022</t>
        </is>
      </c>
      <c r="I12" s="70" t="inlineStr">
        <is>
          <t xml:space="preserve">PM01, PM02</t>
        </is>
      </c>
      <c r="J12" s="78" t="inlineStr">
        <is>
          <t xml:space="preserve">Sin dato público</t>
        </is>
      </c>
      <c r="K12" s="69" t="inlineStr">
        <is>
          <t xml:space="preserve">Sin dato público</t>
        </is>
      </c>
      <c r="L12" s="69" t="inlineStr">
        <is>
          <t xml:space="preserve">Sin dato público</t>
        </is>
      </c>
      <c r="M12" s="69" t="inlineStr">
        <is>
          <t xml:space="preserve">Sin dato público</t>
        </is>
      </c>
      <c r="N12" s="69" t="inlineStr">
        <is>
          <t xml:space="preserve">Sin dato público</t>
        </is>
      </c>
      <c r="O12" s="69" t="inlineStr">
        <is>
          <t xml:space="preserve">Sin dato público</t>
        </is>
      </c>
      <c r="P12" s="69" t="inlineStr">
        <is>
          <t xml:space="preserve">Sin dato público</t>
        </is>
      </c>
      <c r="Q12" s="69" t="inlineStr">
        <is>
          <t xml:space="preserve">Sin dato público</t>
        </is>
      </c>
      <c r="R12" s="69" t="inlineStr">
        <is>
          <t xml:space="preserve">Sin dato público</t>
        </is>
      </c>
      <c r="S12" s="70" t="inlineStr">
        <is>
          <t xml:space="preserve">Parcialmente automatizado y en linea</t>
        </is>
      </c>
      <c r="T12" s="68" t="inlineStr">
        <is>
          <t xml:space="preserve">Mesa de servicio</t>
        </is>
      </c>
      <c r="U12" s="69" t="inlineStr">
        <is>
          <t xml:space="preserve">Correo</t>
        </is>
      </c>
      <c r="V12" s="69" t="inlineStr">
        <is>
          <t xml:space="preserve">Portal</t>
        </is>
      </c>
      <c r="W12" s="69"/>
      <c r="X12" s="69"/>
      <c r="Y12" s="69"/>
      <c r="Z12" s="69"/>
      <c r="AA12" s="70"/>
    </row>
    <row r="13" spans="1:27" x14ac:dyDescent="0.25">
      <c r="A13" s="65" t="inlineStr">
        <is>
          <t xml:space="preserve">S05</t>
        </is>
      </c>
      <c r="B13" s="66" t="inlineStr">
        <is>
          <t xml:space="preserve">Seguridad</t>
        </is>
      </c>
      <c r="C13" s="66" t="inlineStr">
        <is>
          <t xml:space="preserve">Centro de operaciones de seguridad (SOC) para el IDEA, análisis de vulnerabilidades e IPv6 para la Lotería de Medellín. Rol de la TI: Presta el servicio directamente</t>
        </is>
      </c>
      <c r="D13" s="66" t="inlineStr">
        <is>
          <t xml:space="preserve">Servicio</t>
        </is>
      </c>
      <c r="E13" s="66" t="inlineStr">
        <is>
          <t xml:space="preserve">N (Valor+ no tiene trámites para la ciudadanía)</t>
        </is>
      </c>
      <c r="F13" s="66" t="inlineStr">
        <is>
          <t xml:space="preserve">Gerencia de TI</t>
        </is>
      </c>
      <c r="G13" s="66" t="inlineStr">
        <is>
          <t xml:space="preserve">IDEA, Lotería de Medellín, municipios</t>
        </is>
      </c>
      <c r="H13" s="66" t="inlineStr">
        <is>
          <t xml:space="preserve">Resolución 500 de 2021 (MSPI); Decreto 338 de 2022</t>
        </is>
      </c>
      <c r="I13" s="67" t="inlineStr">
        <is>
          <t xml:space="preserve">PM01</t>
        </is>
      </c>
      <c r="J13" s="77" t="inlineStr">
        <is>
          <t xml:space="preserve">Sin dato público</t>
        </is>
      </c>
      <c r="K13" s="66" t="inlineStr">
        <is>
          <t xml:space="preserve">Sin dato público</t>
        </is>
      </c>
      <c r="L13" s="66" t="inlineStr">
        <is>
          <t xml:space="preserve">Sin dato público</t>
        </is>
      </c>
      <c r="M13" s="66" t="inlineStr">
        <is>
          <t xml:space="preserve">Sin dato público</t>
        </is>
      </c>
      <c r="N13" s="66" t="inlineStr">
        <is>
          <t xml:space="preserve">Sin dato público</t>
        </is>
      </c>
      <c r="O13" s="66" t="inlineStr">
        <is>
          <t xml:space="preserve">Sin dato público</t>
        </is>
      </c>
      <c r="P13" s="66" t="inlineStr">
        <is>
          <t xml:space="preserve">Sin dato público</t>
        </is>
      </c>
      <c r="Q13" s="66" t="inlineStr">
        <is>
          <t xml:space="preserve">Sin dato público</t>
        </is>
      </c>
      <c r="R13" s="66" t="inlineStr">
        <is>
          <t xml:space="preserve">Sin dato público</t>
        </is>
      </c>
      <c r="S13" s="67" t="inlineStr">
        <is>
          <t xml:space="preserve">Automatizado parcialmente</t>
        </is>
      </c>
      <c r="T13" s="65" t="inlineStr">
        <is>
          <t xml:space="preserve">Portal del SOC</t>
        </is>
      </c>
      <c r="U13" s="66" t="inlineStr">
        <is>
          <t xml:space="preserve">Correo</t>
        </is>
      </c>
      <c r="V13" s="66"/>
      <c r="W13" s="66"/>
      <c r="X13" s="66"/>
      <c r="Y13" s="66"/>
      <c r="Z13" s="66"/>
      <c r="AA13" s="67"/>
    </row>
    <row r="14" spans="1:27" x14ac:dyDescent="0.25">
      <c r="A14" s="68" t="inlineStr">
        <is>
          <t xml:space="preserve">S06</t>
        </is>
      </c>
      <c r="B14" s="69" t="inlineStr">
        <is>
          <t xml:space="preserve">Soluciones energéticas en tecnologías limpias</t>
        </is>
      </c>
      <c r="C14" s="69" t="inlineStr">
        <is>
          <t xml:space="preserve">Alumbrado público en el departamento. Rol de la TI: Sin rol de TI; fuera del alcance</t>
        </is>
      </c>
      <c r="D14" s="69" t="inlineStr">
        <is>
          <t xml:space="preserve">Servicio</t>
        </is>
      </c>
      <c r="E14" s="69" t="inlineStr">
        <is>
          <t xml:space="preserve">N (Valor+ no tiene trámites para la ciudadanía)</t>
        </is>
      </c>
      <c r="F14" s="69" t="inlineStr">
        <is>
          <t xml:space="preserve">Gerencia de Operaciones</t>
        </is>
      </c>
      <c r="G14" s="69" t="inlineStr">
        <is>
          <t xml:space="preserve">Departamento de Antioquia</t>
        </is>
      </c>
      <c r="H14" s="69" t="inlineStr">
        <is>
          <t xml:space="preserve">Contrato de alumbrado público</t>
        </is>
      </c>
      <c r="I14" s="70" t="inlineStr">
        <is>
          <t xml:space="preserve">PM03</t>
        </is>
      </c>
      <c r="J14" s="78" t="inlineStr">
        <is>
          <t xml:space="preserve">Sin dato público</t>
        </is>
      </c>
      <c r="K14" s="69" t="inlineStr">
        <is>
          <t xml:space="preserve">Sin dato público</t>
        </is>
      </c>
      <c r="L14" s="69" t="inlineStr">
        <is>
          <t xml:space="preserve">Sin dato público</t>
        </is>
      </c>
      <c r="M14" s="69" t="inlineStr">
        <is>
          <t xml:space="preserve">Sin dato público</t>
        </is>
      </c>
      <c r="N14" s="69" t="inlineStr">
        <is>
          <t xml:space="preserve">Sin dato público</t>
        </is>
      </c>
      <c r="O14" s="69" t="inlineStr">
        <is>
          <t xml:space="preserve">Sin dato público</t>
        </is>
      </c>
      <c r="P14" s="69" t="inlineStr">
        <is>
          <t xml:space="preserve">Sin dato público</t>
        </is>
      </c>
      <c r="Q14" s="69" t="inlineStr">
        <is>
          <t xml:space="preserve">Sin dato público</t>
        </is>
      </c>
      <c r="R14" s="69" t="inlineStr">
        <is>
          <t xml:space="preserve">Sin dato público</t>
        </is>
      </c>
      <c r="S14" s="70" t="inlineStr">
        <is>
          <t xml:space="preserve">No aplica: sin rol de TI (fuera del alcance)</t>
        </is>
      </c>
      <c r="T14" s="68" t="inlineStr">
        <is>
          <t xml:space="preserve">—</t>
        </is>
      </c>
      <c r="U14" s="69"/>
      <c r="V14" s="69"/>
      <c r="W14" s="69"/>
      <c r="X14" s="69"/>
      <c r="Y14" s="69"/>
      <c r="Z14" s="69"/>
      <c r="AA14" s="70"/>
    </row>
    <row r="15" spans="1:27" ht="20.25" x14ac:dyDescent="0.25">
      <c r="A15" s="65"/>
      <c r="B15" s="66"/>
      <c r="C15" s="66"/>
      <c r="D15" s="66"/>
      <c r="E15" s="66"/>
      <c r="F15" s="66"/>
      <c r="G15" s="66"/>
      <c r="H15" s="66"/>
      <c r="I15" s="67"/>
      <c r="J15" s="77"/>
      <c r="K15" s="66"/>
      <c r="L15" s="66"/>
      <c r="M15" s="66"/>
      <c r="N15" s="66"/>
      <c r="O15" s="66"/>
      <c r="P15" s="66"/>
      <c r="Q15" s="66"/>
      <c r="R15" s="66"/>
      <c r="S15" s="67"/>
      <c r="T15" s="65"/>
      <c r="U15" s="66"/>
      <c r="V15" s="66"/>
      <c r="W15" s="66"/>
      <c r="X15" s="66"/>
      <c r="Y15" s="66"/>
      <c r="Z15" s="66"/>
      <c r="AA15" s="67"/>
    </row>
    <row r="16" spans="1:27" ht="20.25" x14ac:dyDescent="0.25">
      <c r="A16" s="68"/>
      <c r="B16" s="69"/>
      <c r="C16" s="69"/>
      <c r="D16" s="69"/>
      <c r="E16" s="69"/>
      <c r="F16" s="69"/>
      <c r="G16" s="69"/>
      <c r="H16" s="69"/>
      <c r="I16" s="70"/>
      <c r="J16" s="78"/>
      <c r="K16" s="69"/>
      <c r="L16" s="69"/>
      <c r="M16" s="69"/>
      <c r="N16" s="69"/>
      <c r="O16" s="69"/>
      <c r="P16" s="69"/>
      <c r="Q16" s="69"/>
      <c r="R16" s="69"/>
      <c r="S16" s="70"/>
      <c r="T16" s="68"/>
      <c r="U16" s="69"/>
      <c r="V16" s="69"/>
      <c r="W16" s="69"/>
      <c r="X16" s="69"/>
      <c r="Y16" s="69"/>
      <c r="Z16" s="69"/>
      <c r="AA16" s="70"/>
    </row>
    <row r="17" spans="1:27" ht="20.25" x14ac:dyDescent="0.25">
      <c r="A17" s="65"/>
      <c r="B17" s="66"/>
      <c r="C17" s="66"/>
      <c r="D17" s="66"/>
      <c r="E17" s="66"/>
      <c r="F17" s="66"/>
      <c r="G17" s="66"/>
      <c r="H17" s="66"/>
      <c r="I17" s="67"/>
      <c r="J17" s="77"/>
      <c r="K17" s="66"/>
      <c r="L17" s="66"/>
      <c r="M17" s="66"/>
      <c r="N17" s="66"/>
      <c r="O17" s="66"/>
      <c r="P17" s="66"/>
      <c r="Q17" s="66"/>
      <c r="R17" s="66"/>
      <c r="S17" s="67"/>
      <c r="T17" s="65"/>
      <c r="U17" s="66"/>
      <c r="V17" s="66"/>
      <c r="W17" s="66"/>
      <c r="X17" s="66"/>
      <c r="Y17" s="66"/>
      <c r="Z17" s="66"/>
      <c r="AA17" s="67"/>
    </row>
    <row r="18" spans="1:27" ht="20.25" x14ac:dyDescent="0.25">
      <c r="A18" s="68"/>
      <c r="B18" s="69"/>
      <c r="C18" s="69"/>
      <c r="D18" s="69"/>
      <c r="E18" s="69"/>
      <c r="F18" s="69"/>
      <c r="G18" s="69"/>
      <c r="H18" s="69"/>
      <c r="I18" s="70"/>
      <c r="J18" s="78"/>
      <c r="K18" s="69"/>
      <c r="L18" s="69"/>
      <c r="M18" s="69"/>
      <c r="N18" s="69"/>
      <c r="O18" s="69"/>
      <c r="P18" s="69"/>
      <c r="Q18" s="69"/>
      <c r="R18" s="69"/>
      <c r="S18" s="70"/>
      <c r="T18" s="68"/>
      <c r="U18" s="69"/>
      <c r="V18" s="69"/>
      <c r="W18" s="69"/>
      <c r="X18" s="69"/>
      <c r="Y18" s="69"/>
      <c r="Z18" s="69"/>
      <c r="AA18" s="70"/>
    </row>
    <row r="19" spans="1:27" ht="20.25" x14ac:dyDescent="0.25">
      <c r="A19" s="65"/>
      <c r="B19" s="66"/>
      <c r="C19" s="66"/>
      <c r="D19" s="66"/>
      <c r="E19" s="66"/>
      <c r="F19" s="66"/>
      <c r="G19" s="66"/>
      <c r="H19" s="66"/>
      <c r="I19" s="67"/>
      <c r="J19" s="77"/>
      <c r="K19" s="66"/>
      <c r="L19" s="66"/>
      <c r="M19" s="66"/>
      <c r="N19" s="66"/>
      <c r="O19" s="66"/>
      <c r="P19" s="66"/>
      <c r="Q19" s="66"/>
      <c r="R19" s="66"/>
      <c r="S19" s="67"/>
      <c r="T19" s="65"/>
      <c r="U19" s="66"/>
      <c r="V19" s="66"/>
      <c r="W19" s="66"/>
      <c r="X19" s="66"/>
      <c r="Y19" s="66"/>
      <c r="Z19" s="66"/>
      <c r="AA19" s="67"/>
    </row>
    <row r="20" spans="1:27" ht="15.75" x14ac:dyDescent="0.25">
      <c r="A20" s="68"/>
      <c r="B20" s="69"/>
      <c r="C20" s="69"/>
      <c r="D20" s="69"/>
      <c r="E20" s="69"/>
      <c r="F20" s="69"/>
      <c r="G20" s="69"/>
      <c r="H20" s="69"/>
      <c r="I20" s="70"/>
      <c r="J20" s="78"/>
      <c r="K20" s="69"/>
      <c r="L20" s="69"/>
      <c r="M20" s="69"/>
      <c r="N20" s="69"/>
      <c r="O20" s="69"/>
      <c r="P20" s="69"/>
      <c r="Q20" s="69"/>
      <c r="R20" s="69"/>
      <c r="S20" s="70"/>
      <c r="T20" s="68"/>
      <c r="U20" s="69"/>
      <c r="V20" s="69"/>
      <c r="W20" s="69"/>
      <c r="X20" s="69"/>
      <c r="Y20" s="69"/>
      <c r="Z20" s="69"/>
      <c r="AA20" s="70"/>
    </row>
    <row r="21" spans="1:27" ht="15.75" x14ac:dyDescent="0.25">
      <c r="A21" s="65"/>
      <c r="B21" s="66"/>
      <c r="C21" s="66"/>
      <c r="D21" s="66"/>
      <c r="E21" s="66"/>
      <c r="F21" s="66"/>
      <c r="G21" s="66"/>
      <c r="H21" s="66"/>
      <c r="I21" s="67"/>
      <c r="J21" s="77"/>
      <c r="K21" s="66"/>
      <c r="L21" s="66"/>
      <c r="M21" s="66"/>
      <c r="N21" s="66"/>
      <c r="O21" s="66"/>
      <c r="P21" s="66"/>
      <c r="Q21" s="66"/>
      <c r="R21" s="66"/>
      <c r="S21" s="67"/>
      <c r="T21" s="65"/>
      <c r="U21" s="66"/>
      <c r="V21" s="66"/>
      <c r="W21" s="66"/>
      <c r="X21" s="66"/>
      <c r="Y21" s="66"/>
      <c r="Z21" s="66"/>
      <c r="AA21" s="67"/>
    </row>
    <row r="22" spans="1:27" ht="15.75" x14ac:dyDescent="0.25">
      <c r="A22" s="68"/>
      <c r="B22" s="69"/>
      <c r="C22" s="69"/>
      <c r="D22" s="69"/>
      <c r="E22" s="69"/>
      <c r="F22" s="69"/>
      <c r="G22" s="69"/>
      <c r="H22" s="69"/>
      <c r="I22" s="70"/>
      <c r="J22" s="78"/>
      <c r="K22" s="69"/>
      <c r="L22" s="69"/>
      <c r="M22" s="69"/>
      <c r="N22" s="69"/>
      <c r="O22" s="69"/>
      <c r="P22" s="69"/>
      <c r="Q22" s="69"/>
      <c r="R22" s="69"/>
      <c r="S22" s="70"/>
      <c r="T22" s="68"/>
      <c r="U22" s="69"/>
      <c r="V22" s="69"/>
      <c r="W22" s="69"/>
      <c r="X22" s="69"/>
      <c r="Y22" s="69"/>
      <c r="Z22" s="69"/>
      <c r="AA22" s="70"/>
    </row>
    <row r="23" spans="1:27" ht="15.75" x14ac:dyDescent="0.25">
      <c r="A23" s="65"/>
      <c r="B23" s="66"/>
      <c r="C23" s="66"/>
      <c r="D23" s="66"/>
      <c r="E23" s="66"/>
      <c r="F23" s="66"/>
      <c r="G23" s="66"/>
      <c r="H23" s="66"/>
      <c r="I23" s="67"/>
      <c r="J23" s="77"/>
      <c r="K23" s="66"/>
      <c r="L23" s="66"/>
      <c r="M23" s="66"/>
      <c r="N23" s="66"/>
      <c r="O23" s="66"/>
      <c r="P23" s="66"/>
      <c r="Q23" s="66"/>
      <c r="R23" s="66"/>
      <c r="S23" s="67"/>
      <c r="T23" s="65"/>
      <c r="U23" s="66"/>
      <c r="V23" s="66"/>
      <c r="W23" s="66"/>
      <c r="X23" s="66"/>
      <c r="Y23" s="66"/>
      <c r="Z23" s="66"/>
      <c r="AA23" s="67"/>
    </row>
    <row r="24" spans="1:27" ht="15.75" x14ac:dyDescent="0.25">
      <c r="A24" s="68"/>
      <c r="B24" s="69"/>
      <c r="C24" s="69"/>
      <c r="D24" s="69"/>
      <c r="E24" s="69"/>
      <c r="F24" s="69"/>
      <c r="G24" s="69"/>
      <c r="H24" s="69"/>
      <c r="I24" s="70"/>
      <c r="J24" s="78"/>
      <c r="K24" s="69"/>
      <c r="L24" s="69"/>
      <c r="M24" s="69"/>
      <c r="N24" s="69"/>
      <c r="O24" s="69"/>
      <c r="P24" s="69"/>
      <c r="Q24" s="69"/>
      <c r="R24" s="69"/>
      <c r="S24" s="70"/>
      <c r="T24" s="68"/>
      <c r="U24" s="69"/>
      <c r="V24" s="69"/>
      <c r="W24" s="69"/>
      <c r="X24" s="69"/>
      <c r="Y24" s="69"/>
      <c r="Z24" s="69"/>
      <c r="AA24" s="70"/>
    </row>
    <row r="25" spans="1:27" ht="15.75" x14ac:dyDescent="0.25">
      <c r="A25" s="65"/>
      <c r="B25" s="66"/>
      <c r="C25" s="66"/>
      <c r="D25" s="66"/>
      <c r="E25" s="66"/>
      <c r="F25" s="66"/>
      <c r="G25" s="66"/>
      <c r="H25" s="66"/>
      <c r="I25" s="67"/>
      <c r="J25" s="77"/>
      <c r="K25" s="66"/>
      <c r="L25" s="66"/>
      <c r="M25" s="66"/>
      <c r="N25" s="66"/>
      <c r="O25" s="66"/>
      <c r="P25" s="66"/>
      <c r="Q25" s="66"/>
      <c r="R25" s="66"/>
      <c r="S25" s="67"/>
      <c r="T25" s="65"/>
      <c r="U25" s="66"/>
      <c r="V25" s="66"/>
      <c r="W25" s="66"/>
      <c r="X25" s="66"/>
      <c r="Y25" s="66"/>
      <c r="Z25" s="66"/>
      <c r="AA25" s="67"/>
    </row>
    <row r="26" spans="1:27" ht="15.75" x14ac:dyDescent="0.25">
      <c r="A26" s="68"/>
      <c r="B26" s="69"/>
      <c r="C26" s="69"/>
      <c r="D26" s="69"/>
      <c r="E26" s="69"/>
      <c r="F26" s="69"/>
      <c r="G26" s="69"/>
      <c r="H26" s="69"/>
      <c r="I26" s="70"/>
      <c r="J26" s="78"/>
      <c r="K26" s="69"/>
      <c r="L26" s="69"/>
      <c r="M26" s="69"/>
      <c r="N26" s="69"/>
      <c r="O26" s="69"/>
      <c r="P26" s="69"/>
      <c r="Q26" s="69"/>
      <c r="R26" s="69"/>
      <c r="S26" s="70"/>
      <c r="T26" s="68"/>
      <c r="U26" s="69"/>
      <c r="V26" s="69"/>
      <c r="W26" s="69"/>
      <c r="X26" s="69"/>
      <c r="Y26" s="69"/>
      <c r="Z26" s="69"/>
      <c r="AA26" s="70"/>
    </row>
    <row r="27" spans="1:27" ht="15.75" x14ac:dyDescent="0.25">
      <c r="A27" s="65"/>
      <c r="B27" s="66"/>
      <c r="C27" s="66"/>
      <c r="D27" s="66"/>
      <c r="E27" s="66"/>
      <c r="F27" s="66"/>
      <c r="G27" s="66"/>
      <c r="H27" s="66"/>
      <c r="I27" s="67"/>
      <c r="J27" s="77"/>
      <c r="K27" s="66"/>
      <c r="L27" s="66"/>
      <c r="M27" s="66"/>
      <c r="N27" s="66"/>
      <c r="O27" s="66"/>
      <c r="P27" s="66"/>
      <c r="Q27" s="66"/>
      <c r="R27" s="66"/>
      <c r="S27" s="67"/>
      <c r="T27" s="65"/>
      <c r="U27" s="66"/>
      <c r="V27" s="66"/>
      <c r="W27" s="66"/>
      <c r="X27" s="66"/>
      <c r="Y27" s="66"/>
      <c r="Z27" s="66"/>
      <c r="AA27" s="67"/>
    </row>
    <row r="28" spans="1:27" ht="16.5" thickBot="1" x14ac:dyDescent="0.3">
      <c r="A28" s="71"/>
      <c r="B28" s="72"/>
      <c r="C28" s="72"/>
      <c r="D28" s="72"/>
      <c r="E28" s="72"/>
      <c r="F28" s="72"/>
      <c r="G28" s="72"/>
      <c r="H28" s="72"/>
      <c r="I28" s="73"/>
      <c r="J28" s="79"/>
      <c r="K28" s="72"/>
      <c r="L28" s="72"/>
      <c r="M28" s="72"/>
      <c r="N28" s="72"/>
      <c r="O28" s="72"/>
      <c r="P28" s="72"/>
      <c r="Q28" s="72"/>
      <c r="R28" s="72"/>
      <c r="S28" s="73"/>
      <c r="T28" s="71"/>
      <c r="U28" s="72"/>
      <c r="V28" s="72"/>
      <c r="W28" s="72"/>
      <c r="X28" s="72"/>
      <c r="Y28" s="72"/>
      <c r="Z28" s="72"/>
      <c r="AA28" s="73"/>
    </row>
  </sheetData>
  <mergeCells count="4">
    <mergeCell ref="J7:S7"/>
    <mergeCell ref="T7:AA7"/>
    <mergeCell ref="A6:AA6"/>
    <mergeCell ref="A7:I7"/>
  </mergeCells>
  <phoneticPr fontId="14" type="noConversion"/>
  <pageMargins left="0.7" right="0.7" top="0.75" bottom="0.75" header="0.3" footer="0.3"/>
  <pageSetup scale="41" fitToHeight="0" orientation="landscape" r:id="rId1"/>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r:uid="{033BA06C-0EC4-4E77-8ECF-0B78D9F70877}">
          <x14:formula1>
            <xm:f>'Calificaciones Sesión 4'!$C$2:$C$4</xm:f>
          </x14:formula1>
          <xm:sqref>N9:P21 R9:R21</xm:sqref>
        </x14:dataValidation>
        <x14:dataValidation type="list" allowBlank="1" showInputMessage="1" showErrorMessage="1" xr:uid="{8D8153E0-DEE8-4419-AED4-89EBB22C4852}">
          <x14:formula1>
            <xm:f>'Calificaciones Sesión 4'!$A$2:$A$3</xm:f>
          </x14:formula1>
          <xm:sqref>S10:S21</xm:sqref>
        </x14:dataValidation>
        <x14:dataValidation type="list" allowBlank="1" showInputMessage="1" showErrorMessage="1" xr:uid="{8E9E3C84-9DE4-41E8-9458-2EC20E397A93}">
          <x14:formula1>
            <xm:f>'Litas parametricas'!$A$7:$A$12</xm:f>
          </x14:formula1>
          <xm:sqref>S9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4F487-752F-4A9B-BB7D-01A6A0FB34D2}">
  <dimension ref="A4:E26"/>
  <sheetViews>
    <sheetView showGridLines="0" workbookViewId="0">
      <selection activeCell="I6" sqref="I6"/>
    </sheetView>
  </sheetViews>
  <sheetFormatPr baseColWidth="10" defaultRowHeight="15" x14ac:dyDescent="0.25"/>
  <cols>
    <col min="3" max="3" width="27" customWidth="1"/>
    <col min="4" max="4" width="13" customWidth="1"/>
    <col min="5" max="5" width="26.42578125" customWidth="1"/>
  </cols>
  <sheetData>
    <row r="4" spans="1:5" ht="20.25" x14ac:dyDescent="0.25">
      <c r="A4" s="197" t="s">
        <v>323</v>
      </c>
      <c r="B4" s="198"/>
      <c r="C4" s="198"/>
      <c r="D4" s="198"/>
      <c r="E4" s="198"/>
    </row>
    <row r="5" spans="1:5" ht="21" thickBot="1" x14ac:dyDescent="0.3">
      <c r="A5" s="60"/>
      <c r="B5" s="60"/>
      <c r="C5" s="60"/>
      <c r="D5" s="60"/>
      <c r="E5" s="60"/>
    </row>
    <row r="6" spans="1:5" ht="37.5" customHeight="1" x14ac:dyDescent="0.25">
      <c r="A6" s="61" t="s">
        <v>20</v>
      </c>
      <c r="B6" s="175" t="s">
        <v>321</v>
      </c>
      <c r="C6" s="175"/>
      <c r="D6" s="20" t="s">
        <v>65</v>
      </c>
      <c r="E6" s="21" t="s">
        <v>320</v>
      </c>
    </row>
    <row r="7" spans="1:5" x14ac:dyDescent="0.25">
      <c r="A7" s="57" t="inlineStr">
        <is>
          <t xml:space="preserve">N01</t>
        </is>
      </c>
      <c r="B7" s="185" t="inlineStr">
        <is>
          <t xml:space="preserve">Ley 489 de 1998, arts. 39 y 97</t>
        </is>
      </c>
      <c r="C7" s="185"/>
      <c r="D7" s="51" t="inlineStr">
        <is>
          <t xml:space="preserve">Con 90 % o más de capital público, Valor+ se rige como empresa industrial y comercial del Estado y hace parte de la Rama Ejecutiva</t>
        </is>
      </c>
      <c r="E7" s="58" t="inlineStr">
        <is>
          <t xml:space="preserve">Aplica: es la razón por la que aplican las normas siguientes</t>
        </is>
      </c>
    </row>
    <row r="8" spans="1:5" x14ac:dyDescent="0.25">
      <c r="A8" s="57" t="inlineStr">
        <is>
          <t xml:space="preserve">N02</t>
        </is>
      </c>
      <c r="B8" s="185" t="inlineStr">
        <is>
          <t xml:space="preserve">Ley 1258 de 2008</t>
        </is>
      </c>
      <c r="C8" s="185"/>
      <c r="D8" s="51" t="inlineStr">
        <is>
          <t xml:space="preserve">Régimen de la sociedad por acciones simplificada</t>
        </is>
      </c>
      <c r="E8" s="58" t="inlineStr">
        <is>
          <t xml:space="preserve">Aplica (forma societaria)</t>
        </is>
      </c>
    </row>
    <row r="9" spans="1:5" x14ac:dyDescent="0.25">
      <c r="A9" s="57" t="inlineStr">
        <is>
          <t xml:space="preserve">N03</t>
        </is>
      </c>
      <c r="B9" s="185" t="inlineStr">
        <is>
          <t xml:space="preserve">Decreto 1083 de 2015, modificado por el Decreto 1499 de 2017 (MIPG)</t>
        </is>
      </c>
      <c r="C9" s="185"/>
      <c r="D9" s="51" t="inlineStr">
        <is>
          <t xml:space="preserve">Integrar la gestión, reportar el FURAG y tener Comité Institucional de Gestión y Desempeño, que aprueba el PETI</t>
        </is>
      </c>
      <c r="E9" s="58" t="inlineStr">
        <is>
          <t xml:space="preserve">Aplica</t>
        </is>
      </c>
    </row>
    <row r="10" spans="1:5" x14ac:dyDescent="0.25">
      <c r="A10" s="57" t="inlineStr">
        <is>
          <t xml:space="preserve">N04</t>
        </is>
      </c>
      <c r="B10" s="185" t="inlineStr">
        <is>
          <t xml:space="preserve">Decreto 415 de 2016 (adiciona el Decreto 1083 de 2015)</t>
        </is>
      </c>
      <c r="C10" s="185"/>
      <c r="D10" s="51" t="inlineStr">
        <is>
          <t xml:space="preserve">Que el líder de TI esté en el nivel directivo y dependa del representante legal, para el fortalecimiento institucional en TI</t>
        </is>
      </c>
      <c r="E10" s="58" t="inlineStr">
        <is>
          <t xml:space="preserve">Aplica y se cumple: la Gerencia de Tecnología, Innovación y Sostenibilidad depende de la Gerencia General (numeral 5.3)</t>
        </is>
      </c>
    </row>
    <row r="11" spans="1:5" x14ac:dyDescent="0.25">
      <c r="A11" s="57" t="inlineStr">
        <is>
          <t xml:space="preserve">N05</t>
        </is>
      </c>
      <c r="B11" s="185" t="inlineStr">
        <is>
          <t xml:space="preserve">Decreto 612 de 2018</t>
        </is>
      </c>
      <c r="C11" s="185"/>
      <c r="D11" s="51" t="inlineStr">
        <is>
          <t xml:space="preserve">Integrar el PETI y los planes de seguridad y de tratamiento de riesgos al plan de acción, y publicarlos antes del 31 de enero</t>
        </is>
      </c>
      <c r="E11" s="58" t="inlineStr">
        <is>
          <t xml:space="preserve">Aplica (numerales 8 y 9)</t>
        </is>
      </c>
    </row>
    <row r="12" spans="1:5" x14ac:dyDescent="0.25">
      <c r="A12" s="57" t="inlineStr">
        <is>
          <t xml:space="preserve">N06</t>
        </is>
      </c>
      <c r="B12" s="185" t="inlineStr">
        <is>
          <t xml:space="preserve">Decreto 1078 de 2015, modificado por el Decreto 767 de 2022 (Política de Gobierno Digital)</t>
        </is>
      </c>
      <c r="C12" s="185"/>
      <c r="D12" s="51" t="inlineStr">
        <is>
          <t xml:space="preserve">Arquitectura de TI, seguridad y privacidad, datos y servicios digitales</t>
        </is>
      </c>
      <c r="E12" s="58" t="inlineStr">
        <is>
          <t xml:space="preserve">Aplica; los servicios ciudadanos digitales no, porque no hay trámites (numeral 5.1.7)</t>
        </is>
      </c>
    </row>
    <row r="13" spans="1:5" x14ac:dyDescent="0.25">
      <c r="A13" s="57" t="inlineStr">
        <is>
          <t xml:space="preserve">N07</t>
        </is>
      </c>
      <c r="B13" s="185" t="inlineStr">
        <is>
          <t xml:space="preserve">Decreto 620 de 2020 (servicios ciudadanos digitales)</t>
        </is>
      </c>
      <c r="C13" s="185"/>
      <c r="D13" s="51" t="inlineStr">
        <is>
          <t xml:space="preserve">Autenticación digital, interoperabilidad y carpeta ciudadana para los trámites</t>
        </is>
      </c>
      <c r="E13" s="58" t="inlineStr">
        <is>
          <t xml:space="preserve">No aplica: Valor+ no tiene trámites para la ciudadanía (numeral 5.1.7)</t>
        </is>
      </c>
    </row>
    <row r="14" spans="1:5" x14ac:dyDescent="0.25">
      <c r="A14" s="57" t="inlineStr">
        <is>
          <t xml:space="preserve">N08</t>
        </is>
      </c>
      <c r="B14" s="185" t="inlineStr">
        <is>
          <t xml:space="preserve">Resolución 500 de 2021 del MinTIC (MSPI)</t>
        </is>
      </c>
      <c r="C14" s="185"/>
      <c r="D14" s="51" t="inlineStr">
        <is>
          <t xml:space="preserve">Modelo de Seguridad y Privacidad de la Información</t>
        </is>
      </c>
      <c r="E14" s="58" t="inlineStr">
        <is>
          <t xml:space="preserve">Aplica (numerales 6.7 y 7.5)</t>
        </is>
      </c>
    </row>
    <row r="15" spans="1:5" x14ac:dyDescent="0.25">
      <c r="A15" s="57" t="inlineStr">
        <is>
          <t xml:space="preserve">N09</t>
        </is>
      </c>
      <c r="B15" s="185" t="inlineStr">
        <is>
          <t xml:space="preserve">Decreto 338 de 2022 y CONPES 3995 de 2020</t>
        </is>
      </c>
      <c r="C15" s="185"/>
      <c r="D15" s="51" t="inlineStr">
        <is>
          <t xml:space="preserve">Gobernanza de la seguridad digital y reporte de incidentes</t>
        </is>
      </c>
      <c r="E15" s="58" t="inlineStr">
        <is>
          <t xml:space="preserve">Aplica (P1.4)</t>
        </is>
      </c>
    </row>
    <row r="16" spans="1:5" x14ac:dyDescent="0.25">
      <c r="A16" s="57" t="inlineStr">
        <is>
          <t xml:space="preserve">N10</t>
        </is>
      </c>
      <c r="B16" s="185" t="inlineStr">
        <is>
          <t xml:space="preserve">Ley 1712 de 2014, Decreto 103 de 2015 y Resolución 1519 de 2020 del MinTIC</t>
        </is>
      </c>
      <c r="C16" s="185"/>
      <c r="D16" s="51" t="inlineStr">
        <is>
          <t xml:space="preserve">Publicación de información, accesibilidad web, costos de reproducción y datos abiertos</t>
        </is>
      </c>
      <c r="E16" s="58" t="inlineStr">
        <is>
          <t xml:space="preserve">Aplica; Valor+ ya obtuvo 94 en el ITA (Informe de gestión 2025, pág. 12)</t>
        </is>
      </c>
    </row>
    <row r="17" spans="1:5" x14ac:dyDescent="0.25">
      <c r="A17" s="57" t="inlineStr">
        <is>
          <t xml:space="preserve">N11</t>
        </is>
      </c>
      <c r="B17" s="185" t="inlineStr">
        <is>
          <t xml:space="preserve">Ley 2195 de 2022 y Ley 1474 de 2011</t>
        </is>
      </c>
      <c r="C17" s="185"/>
      <c r="D17" s="51" t="inlineStr">
        <is>
          <t xml:space="preserve">Programa de Transparencia y Ética Pública, antes Plan Anticorrupción</t>
        </is>
      </c>
      <c r="E17" s="58" t="inlineStr">
        <is>
          <t xml:space="preserve">Aplica (numeral 8, otros planes)</t>
        </is>
      </c>
    </row>
    <row r="18" spans="1:5" x14ac:dyDescent="0.25">
      <c r="A18" s="57" t="inlineStr">
        <is>
          <t xml:space="preserve">N12</t>
        </is>
      </c>
      <c r="B18" s="185" t="inlineStr">
        <is>
          <t xml:space="preserve">Ley 1581 de 2012</t>
        </is>
      </c>
      <c r="C18" s="185"/>
      <c r="D18" s="51" t="inlineStr">
        <is>
          <t xml:space="preserve">Protección de datos personales de clientes, ciudadanos y colaboradores</t>
        </is>
      </c>
      <c r="E18" s="58" t="inlineStr">
        <is>
          <t xml:space="preserve">Aplica (P2.1)</t>
        </is>
      </c>
    </row>
    <row r="19" spans="1:5" x14ac:dyDescent="0.25">
      <c r="A19" s="57" t="inlineStr">
        <is>
          <t xml:space="preserve">N13</t>
        </is>
      </c>
      <c r="B19" s="185" t="inlineStr">
        <is>
          <t xml:space="preserve">Ley 594 de 2000, Decreto 1080 de 2015 y Acuerdo 001 de 2024 del Archivo General de la Nación</t>
        </is>
      </c>
      <c r="C19" s="185"/>
      <c r="D19" s="51" t="inlineStr">
        <is>
          <t xml:space="preserve">Gestión documental, documento electrónico y preservación digital</t>
        </is>
      </c>
      <c r="E19" s="58" t="inlineStr">
        <is>
          <t xml:space="preserve">Aplica (P2.5)</t>
        </is>
      </c>
    </row>
    <row r="20" spans="1:5" x14ac:dyDescent="0.25">
      <c r="A20" s="57" t="inlineStr">
        <is>
          <t xml:space="preserve">N14</t>
        </is>
      </c>
      <c r="B20" s="185" t="inlineStr">
        <is>
          <t xml:space="preserve">Ley 1755 de 2015</t>
        </is>
      </c>
      <c r="C20" s="185"/>
      <c r="D20" s="51" t="inlineStr">
        <is>
          <t xml:space="preserve">Términos de respuesta de las peticiones (PQRSD)</t>
        </is>
      </c>
      <c r="E20" s="58" t="inlineStr">
        <is>
          <t xml:space="preserve">Aplica (canales del numeral 5.1.7)</t>
        </is>
      </c>
    </row>
    <row r="21" spans="1:5" x14ac:dyDescent="0.25">
      <c r="A21" s="57" t="inlineStr">
        <is>
          <t xml:space="preserve">N15</t>
        </is>
      </c>
      <c r="B21" s="185" t="inlineStr">
        <is>
          <t xml:space="preserve">Ley 87 de 1993</t>
        </is>
      </c>
      <c r="C21" s="185"/>
      <c r="D21" s="51" t="inlineStr">
        <is>
          <t xml:space="preserve">Sistema de control interno y tercera línea de defensa</t>
        </is>
      </c>
      <c r="E21" s="58" t="inlineStr">
        <is>
          <t xml:space="preserve">Aplica (numeral 7.2)</t>
        </is>
      </c>
    </row>
    <row r="22" spans="1:5" x14ac:dyDescent="0.25">
      <c r="A22" s="57" t="inlineStr">
        <is>
          <t xml:space="preserve">N16</t>
        </is>
      </c>
      <c r="B22" s="185" t="inlineStr">
        <is>
          <t xml:space="preserve">Ley 1150 de 2007, art. 14</t>
        </is>
      </c>
      <c r="C22" s="185"/>
      <c r="D22" s="51" t="inlineStr">
        <is>
          <t xml:space="preserve">Régimen de contratación de las sociedades de economía mixta en competencia, con publicidad en el SECOP</t>
        </is>
      </c>
      <c r="E22" s="58" t="inlineStr">
        <is>
          <t xml:space="preserve">Aplica a las compras de TI, según el manual de contratación de Valor+</t>
        </is>
      </c>
    </row>
    <row r="23" spans="1:5" x14ac:dyDescent="0.25">
      <c r="A23" s="57" t="inlineStr">
        <is>
          <t xml:space="preserve">N17</t>
        </is>
      </c>
      <c r="B23" s="185" t="inlineStr">
        <is>
          <t xml:space="preserve">Resolución 2710 de 2017 del MinTIC, modificada por la Resolución 1126 de 2021</t>
        </is>
      </c>
      <c r="C23" s="185"/>
      <c r="D23" s="51" t="inlineStr">
        <is>
          <t xml:space="preserve">Transición a IPv6; las entidades del orden territorial debían terminarla a más tardar el 31 de diciembre de 2022</t>
        </is>
      </c>
      <c r="E23" s="58" t="inlineStr">
        <is>
          <t xml:space="preserve">Aplica: el plazo venció y no se encontró evidencia de IPv6 en la red propia; diagnóstico en 2027 (P1.6) e implementación en 2028 (P2.4)</t>
        </is>
      </c>
    </row>
    <row r="24" spans="1:5" x14ac:dyDescent="0.25">
      <c r="A24" s="57" t="inlineStr">
        <is>
          <t xml:space="preserve">N18</t>
        </is>
      </c>
      <c r="B24" s="185" t="inlineStr">
        <is>
          <t xml:space="preserve">Ley 2294 de 2023 (Plan Nacional de Desarrollo 2022-2026) y Plan de Desarrollo de Antioquia 2024-2027 "Por Antioquia Firme"</t>
        </is>
      </c>
      <c r="C24" s="185"/>
      <c r="D24" s="51" t="inlineStr">
        <is>
          <t xml:space="preserve">Orientación de la transformación digital y la conectividad del departamento</t>
        </is>
      </c>
      <c r="E24" s="58" t="inlineStr">
        <is>
          <t xml:space="preserve">Contexto (numeral 5)</t>
        </is>
      </c>
    </row>
    <row r="25" spans="1:5" x14ac:dyDescent="0.25">
      <c r="A25" s="57" t="inlineStr">
        <is>
          <t xml:space="preserve">N19</t>
        </is>
      </c>
      <c r="B25" s="185" t="inlineStr">
        <is>
          <t xml:space="preserve">CONPES 4144 de 2025</t>
        </is>
      </c>
      <c r="C25" s="185"/>
      <c r="D25" s="51" t="inlineStr">
        <is>
          <t xml:space="preserve">Política nacional de inteligencia artificial</t>
        </is>
      </c>
      <c r="E25" s="58" t="inlineStr">
        <is>
          <t xml:space="preserve">Referencia para la política de uso de IA (P2.1)</t>
        </is>
      </c>
    </row>
    <row r="26" spans="1:5" thickBot="1" x14ac:dyDescent="0.3">
      <c r="A26" s="62" t="inlineStr">
        <is>
          <t xml:space="preserve">N20</t>
        </is>
      </c>
      <c r="B26" s="193" t="inlineStr">
        <is>
          <t xml:space="preserve">COBIT 2019, ITIL 4, ISO/IEC 27001:2022, ISO 22301:2019, MoReq</t>
        </is>
      </c>
      <c r="C26" s="193"/>
      <c r="D26" s="63" t="inlineStr">
        <is>
          <t xml:space="preserve">Buenas prácticas de gobierno, servicios, seguridad, continuidad y gestión documental</t>
        </is>
      </c>
      <c r="E26" s="64" t="inlineStr">
        <is>
          <t xml:space="preserve">Referencia (Anexo B)</t>
        </is>
      </c>
    </row>
  </sheetData>
  <mergeCells count="22">
    <mergeCell ref="B23:C23"/>
    <mergeCell ref="B24:C24"/>
    <mergeCell ref="B25:C25"/>
    <mergeCell ref="B26:C26"/>
    <mergeCell ref="B17:C17"/>
    <mergeCell ref="B18:C18"/>
    <mergeCell ref="B19:C19"/>
    <mergeCell ref="B20:C20"/>
    <mergeCell ref="B21:C21"/>
    <mergeCell ref="B22:C22"/>
    <mergeCell ref="B16:C16"/>
    <mergeCell ref="A4:E4"/>
    <mergeCell ref="B6:C6"/>
    <mergeCell ref="B7:C7"/>
    <mergeCell ref="B8:C8"/>
    <mergeCell ref="B9:C9"/>
    <mergeCell ref="B10:C10"/>
    <mergeCell ref="B11:C11"/>
    <mergeCell ref="B12:C12"/>
    <mergeCell ref="B13:C13"/>
    <mergeCell ref="B14:C14"/>
    <mergeCell ref="B15:C15"/>
  </mergeCells>
  <pageMargins left="0.7" right="0.7" top="0.75" bottom="0.75" header="0.3" footer="0.3"/>
  <pageSetup orientation="portrait" verticalDpi="0"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14F15-1CF5-4551-90CC-54C7591BD645}">
  <sheetPr>
    <pageSetUpPr fitToPage="1"/>
  </sheetPr>
  <dimension ref="A5:E28"/>
  <sheetViews>
    <sheetView showGridLines="0" workbookViewId="0">
      <selection activeCell="D16" sqref="D16"/>
    </sheetView>
  </sheetViews>
  <sheetFormatPr baseColWidth="10" defaultRowHeight="15" x14ac:dyDescent="0.25"/>
  <cols>
    <col min="1" max="1" width="5.7109375" customWidth="1"/>
    <col min="3" max="3" width="31.42578125" customWidth="1"/>
    <col min="4" max="4" width="60.42578125" customWidth="1"/>
    <col min="5" max="5" width="18.85546875" customWidth="1"/>
  </cols>
  <sheetData>
    <row r="5" spans="1:5" ht="20.25" customHeight="1" x14ac:dyDescent="0.25">
      <c r="A5" s="197" t="s">
        <v>324</v>
      </c>
      <c r="B5" s="198"/>
      <c r="C5" s="198"/>
      <c r="D5" s="198"/>
      <c r="E5" s="198"/>
    </row>
    <row r="6" spans="1:5" ht="21" thickBot="1" x14ac:dyDescent="0.3">
      <c r="A6" s="60"/>
      <c r="B6" s="60"/>
      <c r="C6" s="60"/>
      <c r="D6" s="60"/>
    </row>
    <row r="7" spans="1:5" ht="37.5" customHeight="1" x14ac:dyDescent="0.25">
      <c r="A7" s="61" t="s">
        <v>20</v>
      </c>
      <c r="B7" s="175" t="s">
        <v>325</v>
      </c>
      <c r="C7" s="175"/>
      <c r="D7" s="20" t="s">
        <v>326</v>
      </c>
      <c r="E7" s="21" t="s">
        <v>327</v>
      </c>
    </row>
    <row r="8" spans="1:5" x14ac:dyDescent="0.25">
      <c r="A8" s="57" t="inlineStr">
        <is>
          <t xml:space="preserve">CE-01</t>
        </is>
      </c>
      <c r="B8" s="185" t="inlineStr">
        <is>
          <t xml:space="preserve">PEI 2024-2027, con cinco objetivos estratégicos y un avance de ejecución de 89,65 % al cierre de 2025 (Informe de gestión 2025, págs. 13 y 16)</t>
        </is>
      </c>
      <c r="C8" s="185"/>
      <c r="D8" s="51" t="inlineStr">
        <is>
          <t xml:space="preserve">Las iniciativas de TI se alinean con los cinco objetivos. El PEI vence en 2027, a mitad del horizonte de este PETI, así que el plan debe revisarse cuando se apruebe el PEI siguiente</t>
        </is>
      </c>
      <c r="E8" s="58" t="inlineStr">
        <is>
          <t xml:space="preserve">2027 (fin del PEI 2024-2027)</t>
        </is>
      </c>
    </row>
    <row r="9" spans="1:5" x14ac:dyDescent="0.25">
      <c r="A9" s="57" t="inlineStr">
        <is>
          <t xml:space="preserve">CE-02</t>
        </is>
      </c>
      <c r="B9" s="185" t="inlineStr">
        <is>
          <t xml:space="preserve">Crecimiento del negocio: los ingresos operacionales pasaron de 54.054 millones de pesos en 2024 a 86.700 millones en 2025 (60 % más), y los contratos activos de 34 a 48 (Informe de gestión 2025, págs. 129-130)</t>
        </is>
      </c>
      <c r="C9" s="185"/>
      <c r="D9" s="51" t="inlineStr">
        <is>
          <t xml:space="preserve">La TI interna (mesa de servicios, sistemas de apoyo, seguridad) tiene que atender más contratos sin perder los ANS</t>
        </is>
      </c>
      <c r="E9" s="58" t="inlineStr">
        <is>
          <t xml:space="preserve">Cada vigencia 2027-2030</t>
        </is>
      </c>
    </row>
    <row r="10" spans="1:5" x14ac:dyDescent="0.25">
      <c r="A10" s="57" t="inlineStr">
        <is>
          <t xml:space="preserve">CE-03</t>
        </is>
      </c>
      <c r="B10" s="185" t="inlineStr">
        <is>
          <t xml:space="preserve">Auditoría interna 2025: el proceso de Gestión de TI obtuvo 49 %, el puntaje más bajo de los procesos auditados (Informe de gestión 2025, pág. 49)</t>
        </is>
      </c>
      <c r="C10" s="185"/>
      <c r="D10" s="51" t="inlineStr">
        <is>
          <t xml:space="preserve">Las acciones de mejora abiertas en el Plan de Mejoramiento Institucional son prioridad del primer año del plan</t>
        </is>
      </c>
      <c r="E10" s="58" t="inlineStr">
        <is>
          <t xml:space="preserve">2027 (cierre del Plan de Mejoramiento Institucional)</t>
        </is>
      </c>
    </row>
    <row r="11" spans="1:5" x14ac:dyDescent="0.25">
      <c r="A11" s="57" t="inlineStr">
        <is>
          <t xml:space="preserve">CE-04</t>
        </is>
      </c>
      <c r="B11" s="185" t="inlineStr">
        <is>
          <t xml:space="preserve">Medición del desempeño institucional (FURAG 2024): índice de 74,7 puntos; Gobierno Digital 86,3 y Seguridad Digital 85,2 (Informe de gestión 2025, págs. 9-11)</t>
        </is>
      </c>
      <c r="C11" s="185"/>
      <c r="D11" s="51" t="inlineStr">
        <is>
          <t xml:space="preserve">Mantener o subir esas dos políticas. Talento humano (57,5) y gestión del conocimiento (64,4) son las dimensiones más bajas y tienen componente de TI</t>
        </is>
      </c>
      <c r="E11" s="58" t="inlineStr">
        <is>
          <t xml:space="preserve">Reporte anual del FURAG</t>
        </is>
      </c>
    </row>
    <row r="12" spans="1:5" x14ac:dyDescent="0.25">
      <c r="A12" s="57" t="inlineStr">
        <is>
          <t xml:space="preserve">CE-05</t>
        </is>
      </c>
      <c r="B12" s="185" t="inlineStr">
        <is>
          <t xml:space="preserve">Índice de Transparencia y Acceso a la Información (ITA): 94 puntos en 2025 (Informe de gestión 2025, pág. 12)</t>
        </is>
      </c>
      <c r="C12" s="185"/>
      <c r="D12" s="51" t="inlineStr">
        <is>
          <t xml:space="preserve">Sostener la publicación de información en el sitio web, que opera la TI</t>
        </is>
      </c>
      <c r="E12" s="58" t="inlineStr">
        <is>
          <t xml:space="preserve">Evaluación anual del ITA</t>
        </is>
      </c>
    </row>
    <row r="13" spans="1:5" x14ac:dyDescent="0.25">
      <c r="A13" s="57" t="inlineStr">
        <is>
          <t xml:space="preserve">CE-06</t>
        </is>
      </c>
      <c r="B13" s="185" t="inlineStr">
        <is>
          <t xml:space="preserve">Madurez de la gestión de proyectos en nivel 1 (inicial) y una oficina de gestión de proyectos (PMO) en construcción (Informe de gestión 2025, págs. 36-37)</t>
        </is>
      </c>
      <c r="C13" s="185"/>
      <c r="D13" s="51" t="inlineStr">
        <is>
          <t xml:space="preserve">Los proyectos de TI deben adoptar la metodología que defina la PMO</t>
        </is>
      </c>
      <c r="E13" s="58" t="inlineStr">
        <is>
          <t xml:space="preserve">2027-2028 (implantación de la PMO)</t>
        </is>
      </c>
    </row>
    <row r="14" spans="1:5" x14ac:dyDescent="0.25">
      <c r="A14" s="57" t="inlineStr">
        <is>
          <t xml:space="preserve">CE-07</t>
        </is>
      </c>
      <c r="B14" s="185" t="inlineStr">
        <is>
          <t xml:space="preserve">Gestión documental: tablas de retención y de valoración documental en revisión del Consejo Departamental de Archivo; sistema de gestión de documentos electrónicos de archivo (SGDEA) en diseño con la Gerencia de TI (Informe de gestión 2025, págs. 76-77)</t>
        </is>
      </c>
      <c r="C14" s="185"/>
      <c r="D14" s="51" t="inlineStr">
        <is>
          <t xml:space="preserve">Implementar el SGDEA y la preservación digital según el Acuerdo 001 de 2024 del Archivo General de la Nación</t>
        </is>
      </c>
      <c r="E14" s="58" t="inlineStr">
        <is>
          <t xml:space="preserve">Según convalidación de las TRD y TVD; PINAR hasta 2027</t>
        </is>
      </c>
    </row>
    <row r="15" spans="1:5" x14ac:dyDescent="0.25">
      <c r="A15" s="57" t="inlineStr">
        <is>
          <t xml:space="preserve">CE-08</t>
        </is>
      </c>
      <c r="B15" s="185" t="inlineStr">
        <is>
          <t xml:space="preserve">Seguridad digital: sistema de gestión de seguridad de la información en actualización, adopción del Modelo de Seguridad y Privacidad de la Información (MSPI) y meta de certificar la continuidad del negocio en ISO 22301:2019 (Informe de gestión 2025, pág. 89; PETI 2026-2027 de Valor+)</t>
        </is>
      </c>
      <c r="C15" s="185"/>
      <c r="D15" s="51" t="inlineStr">
        <is>
          <t xml:space="preserve">Continuar el MSPI (Resolución 500 de 2021) y la certificación en ISO 22301</t>
        </is>
      </c>
      <c r="E15" s="58" t="inlineStr">
        <is>
          <t xml:space="preserve">2027 (fases 2 y 3 del BCP/DRP) y operación continua del MSPI</t>
        </is>
      </c>
    </row>
    <row r="16" spans="1:5" x14ac:dyDescent="0.25">
      <c r="A16" s="57" t="inlineStr">
        <is>
          <t xml:space="preserve">CE-09</t>
        </is>
      </c>
      <c r="B16" s="185" t="inlineStr">
        <is>
          <t xml:space="preserve">Auditoría de la Contraloría General de Antioquia a la vigencia 2024: control fiscal interno calificado con 2,0 (con deficiencias) (Informe de gestión 2025, pág. 126)</t>
        </is>
      </c>
      <c r="C16" s="185"/>
      <c r="D16" s="51" t="inlineStr">
        <is>
          <t xml:space="preserve">Mejorar la trazabilidad de la contratación y de los soportes de ejecución, que hoy dependen de hojas de cálculo</t>
        </is>
      </c>
      <c r="E16" s="58" t="inlineStr">
        <is>
          <t xml:space="preserve">Plan de mejoramiento ante la Contraloría (vigencia 2026)</t>
        </is>
      </c>
    </row>
    <row r="17" spans="1:5" x14ac:dyDescent="0.25">
      <c r="A17" s="57" t="inlineStr">
        <is>
          <t xml:space="preserve">CE-10</t>
        </is>
      </c>
      <c r="B17" s="185" t="inlineStr">
        <is>
          <t xml:space="preserve">Plan de Desarrollo Departamental 2024-2027 "Por Antioquia Firme", aprobado por la Asamblea el 28 de mayo de 2024, con el legado "Firmes por la conectividad física y digital" (fibra óptica e internet satelital en las subregiones) (Gobernación de Antioquia, noticia de aprobación del Plan de Desarrollo 2024-2027; Informe de gestión 2025, págs. 89-90)</t>
        </is>
      </c>
      <c r="C17" s="185"/>
      <c r="D17" s="51" t="inlineStr">
        <is>
          <t xml:space="preserve">Demanda de servicios de conectividad, mesas de ayuda y seguridad para entidades del departamento. El plan departamental termina en 2027; el siguiente gobierno aprobará otro para 2028-2031, dentro del horizonte de este PETI</t>
        </is>
      </c>
      <c r="E17" s="58" t="inlineStr">
        <is>
          <t xml:space="preserve">2027 (fin del Plan de Desarrollo 2024-2027)</t>
        </is>
      </c>
    </row>
    <row r="18" spans="1:5" x14ac:dyDescent="0.25">
      <c r="A18" s="57"/>
      <c r="B18" s="185"/>
      <c r="C18" s="185"/>
      <c r="D18" s="51"/>
      <c r="E18" s="58"/>
    </row>
    <row r="19" spans="1:5" x14ac:dyDescent="0.25">
      <c r="A19" s="57"/>
      <c r="B19" s="185"/>
      <c r="C19" s="185"/>
      <c r="D19" s="51"/>
      <c r="E19" s="58"/>
    </row>
    <row r="20" spans="1:5" x14ac:dyDescent="0.25">
      <c r="A20" s="57"/>
      <c r="B20" s="185"/>
      <c r="C20" s="185"/>
      <c r="D20" s="51"/>
      <c r="E20" s="58"/>
    </row>
    <row r="21" spans="1:5" x14ac:dyDescent="0.25">
      <c r="A21" s="57"/>
      <c r="B21" s="185"/>
      <c r="C21" s="185"/>
      <c r="D21" s="51"/>
      <c r="E21" s="58"/>
    </row>
    <row r="22" spans="1:5" x14ac:dyDescent="0.25">
      <c r="A22" s="57"/>
      <c r="B22" s="185"/>
      <c r="C22" s="185"/>
      <c r="D22" s="51"/>
      <c r="E22" s="58"/>
    </row>
    <row r="23" spans="1:5" x14ac:dyDescent="0.25">
      <c r="A23" s="57"/>
      <c r="B23" s="185"/>
      <c r="C23" s="185"/>
      <c r="D23" s="51"/>
      <c r="E23" s="58"/>
    </row>
    <row r="24" spans="1:5" x14ac:dyDescent="0.25">
      <c r="A24" s="57"/>
      <c r="B24" s="185"/>
      <c r="C24" s="185"/>
      <c r="D24" s="51"/>
      <c r="E24" s="58"/>
    </row>
    <row r="25" spans="1:5" x14ac:dyDescent="0.25">
      <c r="A25" s="57"/>
      <c r="B25" s="185"/>
      <c r="C25" s="185"/>
      <c r="D25" s="51"/>
      <c r="E25" s="58"/>
    </row>
    <row r="26" spans="1:5" x14ac:dyDescent="0.25">
      <c r="A26" s="57"/>
      <c r="B26" s="185"/>
      <c r="C26" s="185"/>
      <c r="D26" s="51"/>
      <c r="E26" s="58"/>
    </row>
    <row r="27" spans="1:5" x14ac:dyDescent="0.25">
      <c r="A27" s="57"/>
      <c r="B27" s="185"/>
      <c r="C27" s="185"/>
      <c r="D27" s="51"/>
      <c r="E27" s="58"/>
    </row>
    <row r="28" spans="1:5" ht="15.75" thickBot="1" x14ac:dyDescent="0.3">
      <c r="A28" s="62"/>
      <c r="B28" s="63"/>
      <c r="C28" s="63"/>
      <c r="D28" s="63"/>
      <c r="E28" s="64"/>
    </row>
  </sheetData>
  <mergeCells count="25">
    <mergeCell ref="B24:C24"/>
    <mergeCell ref="B25:C25"/>
    <mergeCell ref="B26:C26"/>
    <mergeCell ref="B27:C27"/>
    <mergeCell ref="B18:C18"/>
    <mergeCell ref="B19:C19"/>
    <mergeCell ref="B20:C20"/>
    <mergeCell ref="B21:C21"/>
    <mergeCell ref="B22:C22"/>
    <mergeCell ref="B23:C23"/>
    <mergeCell ref="A5:E5"/>
    <mergeCell ref="B12:C12"/>
    <mergeCell ref="B13:C13"/>
    <mergeCell ref="B14:C14"/>
    <mergeCell ref="B15:C15"/>
    <mergeCell ref="B17:C17"/>
    <mergeCell ref="B7:C7"/>
    <mergeCell ref="B8:C8"/>
    <mergeCell ref="B9:C9"/>
    <mergeCell ref="B10:C10"/>
    <mergeCell ref="B11:C11"/>
    <mergeCell ref="B16:C16"/>
    <mergeCell ref="B15:C15"/>
    <mergeCell ref="B16:C16"/>
    <mergeCell ref="B17:C17"/>
  </mergeCells>
  <pageMargins left="0.7" right="0.7" top="0.75" bottom="0.75" header="0.3" footer="0.3"/>
  <pageSetup scale="70" fitToHeight="0" orientation="portrait" verticalDpi="0"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B8EB1-4B94-4B6C-9E1F-F52E2DED0DB7}">
  <dimension ref="A1:C8"/>
  <sheetViews>
    <sheetView showGridLines="0" workbookViewId="0">
      <selection activeCell="G6" sqref="G6"/>
    </sheetView>
  </sheetViews>
  <sheetFormatPr baseColWidth="10" defaultColWidth="11.42578125" defaultRowHeight="15" x14ac:dyDescent="0.25"/>
  <cols>
    <col min="1" max="1" width="4.85546875" style="5" bestFit="1" customWidth="1"/>
    <col min="2" max="3" width="42.7109375" style="5" customWidth="1"/>
  </cols>
  <sheetData>
    <row r="1" spans="1:3" ht="19.5" x14ac:dyDescent="0.45"/>
    <row r="4" spans="1:3" ht="15.75" x14ac:dyDescent="0.25">
      <c r="A4" s="7"/>
      <c r="B4" s="85" t="s">
        <v>53</v>
      </c>
      <c r="C4" s="85" t="s">
        <v>54</v>
      </c>
    </row>
    <row r="5" spans="1:3" ht="15.75" x14ac:dyDescent="0.25">
      <c r="A5" s="207" t="s">
        <v>55</v>
      </c>
      <c r="B5" s="84" t="s">
        <v>56</v>
      </c>
      <c r="C5" s="84" t="s">
        <v>57</v>
      </c>
    </row>
    <row r="6" spans="1:3" x14ac:dyDescent="0.25">
      <c r="A6" s="207"/>
      <c r="B6" s="8" t="inlineStr">
        <is>
          <t xml:space="preserve">F1 ANS de clientes cumplidos: 95,71 % (Estrategia)
F2 Riesgos con tres líneas de defensa y Comité de Riesgos (Gobierno)
F3 Activos de información inventariados; PINAR vigente (Información)
F4 ERP financiero en SaaS; software propio registrado (Sistemas)
F5 Nube AWS, Oracle y Azure sin hallazgos críticos (Infraestructura)
F6 Boletín mensual de ciberseguridad (Uso y apropiación)
F7 SGSI actualizado al MSPI 2025; 100 % de ataques bloqueados (Seguridad)</t>
        </is>
      </c>
      <c r="C6" s="8" t="inlineStr">
        <is>
          <t xml:space="preserve">D1 Visión y objetivos de TI sin metas; sin catálogo de servicios (Estrategia)
D2 Ninguna instancia decide sobre TI; auditoría de TI en 49 %; sin cargo de seguridad (Gobierno)
D3 Datos sin responsables ni calidad; archivos sin versiones (Información)
D4 Procesos comercial y de servicio en Excel; ERP sin decidir (Sistemas)
D5 Servicios críticos en sitio; sin plan de capacidad; IPv6 atrasado (Infraestructura)
D6 Sin estrategia de uso y apropiación (Uso y apropiación)
D7 Incidentes sin gestión constante; recuperación sin probar (Seguridad)</t>
        </is>
      </c>
    </row>
    <row r="7" spans="1:3" ht="15.75" x14ac:dyDescent="0.25">
      <c r="A7" s="207" t="s">
        <v>60</v>
      </c>
      <c r="B7" s="84" t="s">
        <v>61</v>
      </c>
      <c r="C7" s="84" t="s">
        <v>62</v>
      </c>
    </row>
    <row r="8" spans="1:3" x14ac:dyDescent="0.25">
      <c r="A8" s="207"/>
      <c r="B8" s="8" t="inlineStr">
        <is>
          <t xml:space="preserve">O1 PEI y Plan de Desarrollo de Antioquia que demandan TI; 48 contratos
O2 PMO en construcción y MIPG con Gobierno Digital en 86,3
O3 Oferta madura de ERP, CRM y BPMS en la nube
O4 Demanda de SOC por los municipios; IA que ya se vende
O5 Acuerdo 001 de 2024 del AGN y MSPI como guía</t>
        </is>
      </c>
      <c r="C8" s="8" t="inlineStr">
        <is>
          <t xml:space="preserve">A1 Ransomware y phishing contra entidades públicas
A2 Fin del PEI (2027) y cambio de gobierno departamental (2028)
A3 Hallazgos de la Contraloría: control fiscal interno en 2,0
A4 Dependencia de proveedores SaaS y del proveedor de internet
A5 Rotación de personal y procedimientos desactualizados</t>
        </is>
      </c>
    </row>
    <row r="10">
      <c r="B10" t="inlineStr">
        <is>
          <t xml:space="preserve">DOFA del dominio Estrategia de TI</t>
        </is>
      </c>
    </row>
    <row r="11">
      <c r="A11" s="7"/>
      <c r="B11" s="85" t="inlineStr">
        <is>
          <t xml:space="preserve">Habilitadores</t>
        </is>
      </c>
      <c r="C11" s="85" t="inlineStr">
        <is>
          <t xml:space="preserve">Barreras</t>
        </is>
      </c>
    </row>
    <row r="12">
      <c r="A12" s="207" t="inlineStr">
        <is>
          <t xml:space="preserve">Origen Interno</t>
        </is>
      </c>
      <c r="B12" s="84" t="inlineStr">
        <is>
          <t xml:space="preserve">Fortalezas</t>
        </is>
      </c>
      <c r="C12" s="84" t="inlineStr">
        <is>
          <t xml:space="preserve">Debilidades</t>
        </is>
      </c>
    </row>
    <row r="13">
      <c r="A13" s="207"/>
      <c r="B13" s="8" t="inlineStr">
        <is>
          <t xml:space="preserve">ANS de clientes cumplidos (95,71 %); TI como proceso misional</t>
        </is>
      </c>
      <c r="C13" s="8" t="inlineStr">
        <is>
          <t xml:space="preserve">Visión y objetivos sin metas (E1, E3); sin catálogo formal (E2); indicadores solo operativos (E6)</t>
        </is>
      </c>
    </row>
    <row r="14">
      <c r="A14" s="207" t="inlineStr">
        <is>
          <t xml:space="preserve">Origen Externo</t>
        </is>
      </c>
      <c r="B14" s="84" t="inlineStr">
        <is>
          <t xml:space="preserve">Oportunidades</t>
        </is>
      </c>
      <c r="C14" s="84" t="inlineStr">
        <is>
          <t xml:space="preserve">Amenazas</t>
        </is>
      </c>
    </row>
    <row r="15">
      <c r="A15" s="207"/>
      <c r="B15" s="8" t="inlineStr">
        <is>
          <t xml:space="preserve">PEI y Plan de Desarrollo departamental que demandan TI; crecimiento de contratos</t>
        </is>
      </c>
      <c r="C15" s="8" t="inlineStr">
        <is>
          <t xml:space="preserve">Fin del PEI y del plan departamental en 2027</t>
        </is>
      </c>
    </row>
    <row r="17">
      <c r="B17" t="inlineStr">
        <is>
          <t xml:space="preserve">DOFA del dominio Gobierno de TI</t>
        </is>
      </c>
    </row>
    <row r="18">
      <c r="A18" s="7"/>
      <c r="B18" s="85" t="inlineStr">
        <is>
          <t xml:space="preserve">Habilitadores</t>
        </is>
      </c>
      <c r="C18" s="85" t="inlineStr">
        <is>
          <t xml:space="preserve">Barreras</t>
        </is>
      </c>
    </row>
    <row r="19">
      <c r="A19" s="207" t="inlineStr">
        <is>
          <t xml:space="preserve">Origen Interno</t>
        </is>
      </c>
      <c r="B19" s="84" t="inlineStr">
        <is>
          <t xml:space="preserve">Fortalezas</t>
        </is>
      </c>
      <c r="C19" s="84" t="inlineStr">
        <is>
          <t xml:space="preserve">Debilidades</t>
        </is>
      </c>
    </row>
    <row r="20">
      <c r="A20" s="207"/>
      <c r="B20" s="8" t="inlineStr">
        <is>
          <t xml:space="preserve">Riesgos con tres líneas de defensa; comité de compras activo</t>
        </is>
      </c>
      <c r="C20" s="8" t="inlineStr">
        <is>
          <t xml:space="preserve">Ninguna instancia revisa el portafolio de TI (G1); auditoría de TI en 49 % (G6); sin RACI ni cargo de seguridad (G7, G8)</t>
        </is>
      </c>
    </row>
    <row r="21">
      <c r="A21" s="207" t="inlineStr">
        <is>
          <t xml:space="preserve">Origen Externo</t>
        </is>
      </c>
      <c r="B21" s="84" t="inlineStr">
        <is>
          <t xml:space="preserve">Oportunidades</t>
        </is>
      </c>
      <c r="C21" s="84" t="inlineStr">
        <is>
          <t xml:space="preserve">Amenazas</t>
        </is>
      </c>
    </row>
    <row r="22">
      <c r="A22" s="207"/>
      <c r="B22" s="8" t="inlineStr">
        <is>
          <t xml:space="preserve">PMO en construcción; FURAG con Gobierno Digital en 86,3</t>
        </is>
      </c>
      <c r="C22" s="8" t="inlineStr">
        <is>
          <t xml:space="preserve">Hallazgos de la Contraloría (control fiscal 2,0)</t>
        </is>
      </c>
    </row>
    <row r="24">
      <c r="B24" t="inlineStr">
        <is>
          <t xml:space="preserve">DOFA del dominio Información</t>
        </is>
      </c>
    </row>
    <row r="25">
      <c r="A25" s="7"/>
      <c r="B25" s="85" t="inlineStr">
        <is>
          <t xml:space="preserve">Habilitadores</t>
        </is>
      </c>
      <c r="C25" s="85" t="inlineStr">
        <is>
          <t xml:space="preserve">Barreras</t>
        </is>
      </c>
    </row>
    <row r="26">
      <c r="A26" s="207" t="inlineStr">
        <is>
          <t xml:space="preserve">Origen Interno</t>
        </is>
      </c>
      <c r="B26" s="84" t="inlineStr">
        <is>
          <t xml:space="preserve">Fortalezas</t>
        </is>
      </c>
      <c r="C26" s="84" t="inlineStr">
        <is>
          <t xml:space="preserve">Debilidades</t>
        </is>
      </c>
    </row>
    <row r="27">
      <c r="A27" s="207"/>
      <c r="B27" s="8" t="inlineStr">
        <is>
          <t xml:space="preserve">Activos inventariados; PINAR y plan de preservación digital</t>
        </is>
      </c>
      <c r="C27" s="8" t="inlineStr">
        <is>
          <t xml:space="preserve">Sin datos maestros ni responsables (I1); información en unidad local sin versiones (I3); calidad sin medir (I6)</t>
        </is>
      </c>
    </row>
    <row r="28">
      <c r="A28" s="207" t="inlineStr">
        <is>
          <t xml:space="preserve">Origen Externo</t>
        </is>
      </c>
      <c r="B28" s="84" t="inlineStr">
        <is>
          <t xml:space="preserve">Oportunidades</t>
        </is>
      </c>
      <c r="C28" s="84" t="inlineStr">
        <is>
          <t xml:space="preserve">Amenazas</t>
        </is>
      </c>
    </row>
    <row r="29">
      <c r="A29" s="207"/>
      <c r="B29" s="8" t="inlineStr">
        <is>
          <t xml:space="preserve">Acuerdo 001 de 2024 del AGN; analítica e IA que ya vende</t>
        </is>
      </c>
      <c r="C29" s="8" t="inlineStr">
        <is>
          <t xml:space="preserve">Pérdida o inconsistencia de información de contratos</t>
        </is>
      </c>
    </row>
    <row r="31">
      <c r="B31" t="inlineStr">
        <is>
          <t xml:space="preserve">DOFA del dominio Sistemas de información</t>
        </is>
      </c>
    </row>
    <row r="32">
      <c r="A32" s="7"/>
      <c r="B32" s="85" t="inlineStr">
        <is>
          <t xml:space="preserve">Habilitadores</t>
        </is>
      </c>
      <c r="C32" s="85" t="inlineStr">
        <is>
          <t xml:space="preserve">Barreras</t>
        </is>
      </c>
    </row>
    <row r="33">
      <c r="A33" s="207" t="inlineStr">
        <is>
          <t xml:space="preserve">Origen Interno</t>
        </is>
      </c>
      <c r="B33" s="84" t="inlineStr">
        <is>
          <t xml:space="preserve">Fortalezas</t>
        </is>
      </c>
      <c r="C33" s="84" t="inlineStr">
        <is>
          <t xml:space="preserve">Debilidades</t>
        </is>
      </c>
    </row>
    <row r="34">
      <c r="A34" s="207"/>
      <c r="B34" s="8" t="inlineStr">
        <is>
          <t xml:space="preserve">ERP financiero en SaaS; desarrollo propio registrado (Carriel)</t>
        </is>
      </c>
      <c r="C34" s="8" t="inlineStr">
        <is>
          <t xml:space="preserve">Procesos del negocio en Excel (S1); ERP integrado sin decidir (S2); sin integraciones (S3)</t>
        </is>
      </c>
    </row>
    <row r="35">
      <c r="A35" s="207" t="inlineStr">
        <is>
          <t xml:space="preserve">Origen Externo</t>
        </is>
      </c>
      <c r="B35" s="84" t="inlineStr">
        <is>
          <t xml:space="preserve">Oportunidades</t>
        </is>
      </c>
      <c r="C35" s="84" t="inlineStr">
        <is>
          <t xml:space="preserve">Amenazas</t>
        </is>
      </c>
    </row>
    <row r="36">
      <c r="A36" s="207"/>
      <c r="B36" s="8" t="inlineStr">
        <is>
          <t xml:space="preserve">Oferta madura de ERP, CRM y BPMS en la nube</t>
        </is>
      </c>
      <c r="C36" s="8" t="inlineStr">
        <is>
          <t xml:space="preserve">Dependencia de proveedores SaaS</t>
        </is>
      </c>
    </row>
    <row r="38">
      <c r="B38" t="inlineStr">
        <is>
          <t xml:space="preserve">DOFA del dominio Infraestructura de TI</t>
        </is>
      </c>
    </row>
    <row r="39">
      <c r="A39" s="7"/>
      <c r="B39" s="85" t="inlineStr">
        <is>
          <t xml:space="preserve">Habilitadores</t>
        </is>
      </c>
      <c r="C39" s="85" t="inlineStr">
        <is>
          <t xml:space="preserve">Barreras</t>
        </is>
      </c>
    </row>
    <row r="40">
      <c r="A40" s="207" t="inlineStr">
        <is>
          <t xml:space="preserve">Origen Interno</t>
        </is>
      </c>
      <c r="B40" s="84" t="inlineStr">
        <is>
          <t xml:space="preserve">Fortalezas</t>
        </is>
      </c>
      <c r="C40" s="84" t="inlineStr">
        <is>
          <t xml:space="preserve">Debilidades</t>
        </is>
      </c>
    </row>
    <row r="41">
      <c r="A41" s="207"/>
      <c r="B41" s="8" t="inlineStr">
        <is>
          <t xml:space="preserve">Nube en AWS, Oracle y Azure sin hallazgos críticos; disponibilidad 100 %</t>
        </is>
      </c>
      <c r="C41" s="8" t="inlineStr">
        <is>
          <t xml:space="preserve">Servicios críticos aún en sitio (T1); sin plan de capacidad (T2); IPv6 atrasado frente al plazo de 2022 (T3)</t>
        </is>
      </c>
    </row>
    <row r="42">
      <c r="A42" s="207" t="inlineStr">
        <is>
          <t xml:space="preserve">Origen Externo</t>
        </is>
      </c>
      <c r="B42" s="84" t="inlineStr">
        <is>
          <t xml:space="preserve">Oportunidades</t>
        </is>
      </c>
      <c r="C42" s="84" t="inlineStr">
        <is>
          <t xml:space="preserve">Amenazas</t>
        </is>
      </c>
    </row>
    <row r="43">
      <c r="A43" s="207"/>
      <c r="B43" s="8" t="inlineStr">
        <is>
          <t xml:space="preserve">Conectividad departamental; precios de nube</t>
        </is>
      </c>
      <c r="C43" s="8" t="inlineStr">
        <is>
          <t xml:space="preserve">Fallas de sedes o del proveedor de internet</t>
        </is>
      </c>
    </row>
    <row r="45">
      <c r="B45" t="inlineStr">
        <is>
          <t xml:space="preserve">DOFA del dominio Uso y apropiación</t>
        </is>
      </c>
    </row>
    <row r="46">
      <c r="A46" s="7"/>
      <c r="B46" s="85" t="inlineStr">
        <is>
          <t xml:space="preserve">Habilitadores</t>
        </is>
      </c>
      <c r="C46" s="85" t="inlineStr">
        <is>
          <t xml:space="preserve">Barreras</t>
        </is>
      </c>
    </row>
    <row r="47">
      <c r="A47" s="207" t="inlineStr">
        <is>
          <t xml:space="preserve">Origen Interno</t>
        </is>
      </c>
      <c r="B47" s="84" t="inlineStr">
        <is>
          <t xml:space="preserve">Fortalezas</t>
        </is>
      </c>
      <c r="C47" s="84" t="inlineStr">
        <is>
          <t xml:space="preserve">Debilidades</t>
        </is>
      </c>
    </row>
    <row r="48">
      <c r="A48" s="207"/>
      <c r="B48" s="8" t="inlineStr">
        <is>
          <t xml:space="preserve">Boletín de ciberseguridad; capacitación institucional</t>
        </is>
      </c>
      <c r="C48" s="8" t="inlineStr">
        <is>
          <t xml:space="preserve">Sin estrategia de apropiación (U1)</t>
        </is>
      </c>
    </row>
    <row r="49">
      <c r="A49" s="207" t="inlineStr">
        <is>
          <t xml:space="preserve">Origen Externo</t>
        </is>
      </c>
      <c r="B49" s="84" t="inlineStr">
        <is>
          <t xml:space="preserve">Oportunidades</t>
        </is>
      </c>
      <c r="C49" s="84" t="inlineStr">
        <is>
          <t xml:space="preserve">Amenazas</t>
        </is>
      </c>
    </row>
    <row r="50">
      <c r="A50" s="207"/>
      <c r="B50" s="8" t="inlineStr">
        <is>
          <t xml:space="preserve">Resultados del FURAG en talento humano y conocimiento como palanca</t>
        </is>
      </c>
      <c r="C50" s="8" t="inlineStr">
        <is>
          <t xml:space="preserve">Rotación de personal y procedimientos desactualizados</t>
        </is>
      </c>
    </row>
    <row r="52">
      <c r="B52" t="inlineStr">
        <is>
          <t xml:space="preserve">DOFA del dominio Seguridad de la información</t>
        </is>
      </c>
    </row>
    <row r="53">
      <c r="A53" s="7"/>
      <c r="B53" s="85" t="inlineStr">
        <is>
          <t xml:space="preserve">Habilitadores</t>
        </is>
      </c>
      <c r="C53" s="85" t="inlineStr">
        <is>
          <t xml:space="preserve">Barreras</t>
        </is>
      </c>
    </row>
    <row r="54">
      <c r="A54" s="207" t="inlineStr">
        <is>
          <t xml:space="preserve">Origen Interno</t>
        </is>
      </c>
      <c r="B54" s="84" t="inlineStr">
        <is>
          <t xml:space="preserve">Fortalezas</t>
        </is>
      </c>
      <c r="C54" s="84" t="inlineStr">
        <is>
          <t xml:space="preserve">Debilidades</t>
        </is>
      </c>
    </row>
    <row r="55">
      <c r="A55" s="207"/>
      <c r="B55" s="8" t="inlineStr">
        <is>
          <t xml:space="preserve">SGSI actualizado al MSPI 2025; 100 % de ataques bloqueados</t>
        </is>
      </c>
      <c r="C55" s="8" t="inlineStr">
        <is>
          <t xml:space="preserve">Incidentes sin gestión constante (SG1); continuidad y SOC en curso (SG2)</t>
        </is>
      </c>
    </row>
    <row r="56">
      <c r="A56" s="207" t="inlineStr">
        <is>
          <t xml:space="preserve">Origen Externo</t>
        </is>
      </c>
      <c r="B56" s="84" t="inlineStr">
        <is>
          <t xml:space="preserve">Oportunidades</t>
        </is>
      </c>
      <c r="C56" s="84" t="inlineStr">
        <is>
          <t xml:space="preserve">Amenazas</t>
        </is>
      </c>
    </row>
    <row r="57">
      <c r="A57" s="207"/>
      <c r="B57" s="8" t="inlineStr">
        <is>
          <t xml:space="preserve">Demanda de SOC por municipios</t>
        </is>
      </c>
      <c r="C57" s="8" t="inlineStr">
        <is>
          <t xml:space="preserve">Ransomware y phishing contra entidades públicas</t>
        </is>
      </c>
    </row>
  </sheetData>
  <mergeCells count="16">
    <mergeCell ref="A7:A8"/>
    <mergeCell ref="A5:A6"/>
    <mergeCell ref="A12:A13"/>
    <mergeCell ref="A14:A15"/>
    <mergeCell ref="A19:A20"/>
    <mergeCell ref="A21:A22"/>
    <mergeCell ref="A26:A27"/>
    <mergeCell ref="A28:A29"/>
    <mergeCell ref="A33:A34"/>
    <mergeCell ref="A35:A36"/>
    <mergeCell ref="A40:A41"/>
    <mergeCell ref="A42:A43"/>
    <mergeCell ref="A47:A48"/>
    <mergeCell ref="A49:A50"/>
    <mergeCell ref="A54:A55"/>
    <mergeCell ref="A56:A57"/>
  </mergeCells>
  <pageMargins left="0.7" right="0.7" top="0.75" bottom="0.75" header="0.3" footer="0.3"/>
  <pageSetup orientation="portrait" verticalDpi="0"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196B4-D063-4909-ADD9-F4CFCCC9F548}">
  <sheetPr>
    <pageSetUpPr fitToPage="1"/>
  </sheetPr>
  <dimension ref="A6:K24"/>
  <sheetViews>
    <sheetView showGridLines="0" topLeftCell="A9" zoomScaleNormal="100" workbookViewId="0">
      <selection sqref="A1:XFD1"/>
    </sheetView>
  </sheetViews>
  <sheetFormatPr baseColWidth="10" defaultColWidth="11.42578125" defaultRowHeight="15" x14ac:dyDescent="0.25"/>
  <cols>
    <col min="1" max="1" width="24.140625" bestFit="1" customWidth="1"/>
    <col min="2" max="2" width="38.85546875" customWidth="1"/>
    <col min="5" max="5" width="13.42578125" customWidth="1"/>
  </cols>
  <sheetData>
    <row r="6" spans="1:11" ht="15.75" thickBot="1" x14ac:dyDescent="0.3"/>
    <row r="7" spans="1:11" ht="20.25" customHeight="1" x14ac:dyDescent="0.25">
      <c r="A7" s="208" t="s">
        <v>66</v>
      </c>
      <c r="B7" s="209"/>
      <c r="C7" s="209"/>
      <c r="D7" s="209"/>
      <c r="E7" s="209"/>
      <c r="F7" s="209"/>
      <c r="G7" s="209"/>
      <c r="H7" s="209"/>
      <c r="I7" s="209"/>
      <c r="J7" s="209"/>
      <c r="K7" s="210"/>
    </row>
    <row r="8" spans="1:11" ht="15.75" x14ac:dyDescent="0.25">
      <c r="A8" s="188" t="s">
        <v>67</v>
      </c>
      <c r="B8" s="184"/>
      <c r="C8" s="184" t="s">
        <v>26</v>
      </c>
      <c r="D8" s="184"/>
      <c r="E8" s="184"/>
      <c r="F8" s="184" t="s">
        <v>328</v>
      </c>
      <c r="G8" s="184"/>
      <c r="H8" s="184"/>
      <c r="I8" s="184" t="s">
        <v>329</v>
      </c>
      <c r="J8" s="184"/>
      <c r="K8" s="196"/>
    </row>
    <row r="9" spans="1:11" s="3" customFormat="1" x14ac:dyDescent="0.25">
      <c r="A9" s="53" t="s">
        <v>3</v>
      </c>
      <c r="B9" s="17" t="s">
        <v>68</v>
      </c>
      <c r="C9" s="17" t="inlineStr">
        <is>
          <t xml:space="preserve">ST01-ST08 Servicios de TI internos</t>
        </is>
      </c>
      <c r="D9" s="17" t="inlineStr">
        <is>
          <t xml:space="preserve">SC01-SC02 Mesas de servicio y SOC</t>
        </is>
      </c>
      <c r="E9" s="17" t="inlineStr">
        <is>
          <t xml:space="preserve">SC03-SC05 Conectividad, desarrollo y nube</t>
        </is>
      </c>
      <c r="F9" s="17" t="inlineStr">
        <is>
          <t xml:space="preserve">No aplica: sin trámites</t>
        </is>
      </c>
      <c r="G9" s="17" t="inlineStr">
        <is>
          <t xml:space="preserve">No aplica</t>
        </is>
      </c>
      <c r="H9" s="17" t="inlineStr">
        <is>
          <t xml:space="preserve">No aplica</t>
        </is>
      </c>
      <c r="I9" s="17" t="inlineStr">
        <is>
          <t xml:space="preserve">PM Procesos misionales</t>
        </is>
      </c>
      <c r="J9" s="17" t="inlineStr">
        <is>
          <t xml:space="preserve">PE Procesos estratégicos</t>
        </is>
      </c>
      <c r="K9" s="59" t="inlineStr">
        <is>
          <t xml:space="preserve">PA y PV Apoyo y evaluación</t>
        </is>
      </c>
    </row>
    <row r="10" spans="1:11" x14ac:dyDescent="0.25">
      <c r="A10" s="22" t="s">
        <v>69</v>
      </c>
      <c r="B10" s="86" t="inlineStr">
        <is>
          <t xml:space="preserve">AWS, Oracle Cloud, Azure, Office 365. Uso previsto: Migrar los servicios que siguen en sitio</t>
        </is>
      </c>
      <c r="C10" s="34" t="inlineStr">
        <is>
          <t xml:space="preserve">X</t>
        </is>
      </c>
      <c r="D10" s="34"/>
      <c r="E10" s="34" t="inlineStr">
        <is>
          <t xml:space="preserve">X</t>
        </is>
      </c>
      <c r="F10" s="34"/>
      <c r="G10" s="34"/>
      <c r="H10" s="34"/>
      <c r="I10" s="34" t="inlineStr">
        <is>
          <t xml:space="preserve">X</t>
        </is>
      </c>
      <c r="J10" s="34"/>
      <c r="K10" s="87" t="inlineStr">
        <is>
          <t xml:space="preserve">X</t>
        </is>
      </c>
    </row>
    <row r="11" spans="1:11" x14ac:dyDescent="0.25">
      <c r="A11" s="22" t="s">
        <v>71</v>
      </c>
      <c r="B11" s="86" t="inlineStr">
        <is>
          <t xml:space="preserve">Asistentes virtuales para la Lotería de Medellín y la Tasa de Seguridad; chat y WhatsApp con IA para 17 secretarías (Informe de gestión 2025, págs. 91-92 y 103). Uso previsto: Usarla también en la atención interna y en PQRSD, con política de uso</t>
        </is>
      </c>
      <c r="C11" s="51"/>
      <c r="D11" s="51"/>
      <c r="E11" s="51" t="inlineStr">
        <is>
          <t xml:space="preserve">X</t>
        </is>
      </c>
      <c r="F11" s="51"/>
      <c r="G11" s="51"/>
      <c r="H11" s="51"/>
      <c r="I11" s="51" t="inlineStr">
        <is>
          <t xml:space="preserve">X</t>
        </is>
      </c>
      <c r="J11" s="51"/>
      <c r="K11" s="58"/>
    </row>
    <row r="12" spans="1:11" x14ac:dyDescent="0.25">
      <c r="A12" s="22" t="s">
        <v>73</v>
      </c>
      <c r="B12" s="86" t="inlineStr">
        <is>
          <t xml:space="preserve">No priorizada: sin caso de uso en la TI interna de Valor+</t>
        </is>
      </c>
      <c r="C12" s="34"/>
      <c r="D12" s="34"/>
      <c r="E12" s="34"/>
      <c r="F12" s="34"/>
      <c r="G12" s="34"/>
      <c r="H12" s="34"/>
      <c r="I12" s="34"/>
      <c r="J12" s="34"/>
      <c r="K12" s="87"/>
    </row>
    <row r="13" spans="1:11" x14ac:dyDescent="0.25">
      <c r="A13" s="22" t="s">
        <v>75</v>
      </c>
      <c r="B13" s="86" t="inlineStr">
        <is>
          <t xml:space="preserve">Power BI; analítica para entes territoriales (Informe de gestión 2025, pág. 89). Uso previsto: Tablero del PEI con datos integrados</t>
        </is>
      </c>
      <c r="C13" s="51" t="inlineStr">
        <is>
          <t xml:space="preserve">X</t>
        </is>
      </c>
      <c r="D13" s="51"/>
      <c r="E13" s="51"/>
      <c r="F13" s="51"/>
      <c r="G13" s="51"/>
      <c r="H13" s="51"/>
      <c r="I13" s="51"/>
      <c r="J13" s="51" t="inlineStr">
        <is>
          <t xml:space="preserve">X</t>
        </is>
      </c>
      <c r="K13" s="58"/>
    </row>
    <row r="14" spans="1:11" x14ac:dyDescent="0.25">
      <c r="A14" s="22" t="s">
        <v>77</v>
      </c>
      <c r="B14" s="86" t="inlineStr">
        <is>
          <t xml:space="preserve">No priorizada: sin caso de uso</t>
        </is>
      </c>
      <c r="C14" s="34"/>
      <c r="D14" s="34"/>
      <c r="E14" s="34"/>
      <c r="F14" s="34"/>
      <c r="G14" s="34"/>
      <c r="H14" s="34"/>
      <c r="I14" s="34"/>
      <c r="J14" s="34"/>
      <c r="K14" s="87"/>
    </row>
    <row r="15" spans="1:11" x14ac:dyDescent="0.25">
      <c r="A15" s="22" t="s">
        <v>79</v>
      </c>
      <c r="B15" s="86" t="inlineStr">
        <is>
          <t xml:space="preserve">Base de la capa de integración por API entre ERP, CRM, gestión de servicios y SGDEA (P3.1)</t>
        </is>
      </c>
      <c r="C15" s="51" t="inlineStr">
        <is>
          <t xml:space="preserve">X</t>
        </is>
      </c>
      <c r="D15" s="51"/>
      <c r="E15" s="51"/>
      <c r="F15" s="51"/>
      <c r="G15" s="51"/>
      <c r="H15" s="51"/>
      <c r="I15" s="51" t="inlineStr">
        <is>
          <t xml:space="preserve">X</t>
        </is>
      </c>
      <c r="J15" s="51"/>
      <c r="K15" s="58" t="inlineStr">
        <is>
          <t xml:space="preserve">X</t>
        </is>
      </c>
    </row>
    <row r="16" spans="1:11" x14ac:dyDescent="0.25">
      <c r="A16" s="22" t="s">
        <v>81</v>
      </c>
      <c r="B16" s="86" t="inlineStr">
        <is>
          <t xml:space="preserve">No priorizada en este plan: el desarrollo usa Scrum; se revisará con el procedimiento de ciclo de vida (P1.2)</t>
        </is>
      </c>
      <c r="C16" s="34"/>
      <c r="D16" s="34"/>
      <c r="E16" s="34"/>
      <c r="F16" s="34"/>
      <c r="G16" s="34"/>
      <c r="H16" s="34"/>
      <c r="I16" s="34"/>
      <c r="J16" s="34"/>
      <c r="K16" s="87"/>
    </row>
    <row r="17" spans="1:11" x14ac:dyDescent="0.25">
      <c r="A17" s="22" t="s">
        <v>83</v>
      </c>
      <c r="B17" s="86" t="inlineStr">
        <is>
          <t xml:space="preserve">SOC IDEA y SOC Municipios (Informe de gestión 2025, pág. 80; PETI 2026-2027 de Valor+, pág. 45). Uso previsto: SOC propio que también atienda la TI interna</t>
        </is>
      </c>
      <c r="C17" s="51" t="inlineStr">
        <is>
          <t xml:space="preserve">X</t>
        </is>
      </c>
      <c r="D17" s="51" t="inlineStr">
        <is>
          <t xml:space="preserve">X</t>
        </is>
      </c>
      <c r="E17" s="51"/>
      <c r="F17" s="51"/>
      <c r="G17" s="51"/>
      <c r="H17" s="51"/>
      <c r="I17" s="51" t="inlineStr">
        <is>
          <t xml:space="preserve">X</t>
        </is>
      </c>
      <c r="J17" s="51" t="inlineStr">
        <is>
          <t xml:space="preserve">X</t>
        </is>
      </c>
      <c r="K17" s="58"/>
    </row>
    <row r="18" spans="1:11" x14ac:dyDescent="0.25">
      <c r="A18" s="22" t="s">
        <v>85</v>
      </c>
      <c r="B18" s="86" t="inlineStr">
        <is>
          <t xml:space="preserve">No priorizada: sin caso de uso</t>
        </is>
      </c>
      <c r="C18" s="34"/>
      <c r="D18" s="34"/>
      <c r="E18" s="34"/>
      <c r="F18" s="34"/>
      <c r="G18" s="34"/>
      <c r="H18" s="34"/>
      <c r="I18" s="34"/>
      <c r="J18" s="34"/>
      <c r="K18" s="87"/>
    </row>
    <row r="19" spans="1:11" x14ac:dyDescent="0.25">
      <c r="A19" s="22" t="s">
        <v>87</v>
      </c>
      <c r="B19" s="86" t="inlineStr">
        <is>
          <t xml:space="preserve">Office 365, Teams y SharePoint como espacio común de documentos (P2.4)</t>
        </is>
      </c>
      <c r="C19" s="51" t="inlineStr">
        <is>
          <t xml:space="preserve">X</t>
        </is>
      </c>
      <c r="D19" s="51"/>
      <c r="E19" s="51"/>
      <c r="F19" s="51"/>
      <c r="G19" s="51"/>
      <c r="H19" s="51"/>
      <c r="I19" s="51"/>
      <c r="J19" s="51" t="inlineStr">
        <is>
          <t xml:space="preserve">X</t>
        </is>
      </c>
      <c r="K19" s="58" t="inlineStr">
        <is>
          <t xml:space="preserve">X</t>
        </is>
      </c>
    </row>
    <row r="20" spans="1:11" x14ac:dyDescent="0.25">
      <c r="A20" s="22" t="s">
        <v>89</v>
      </c>
      <c r="B20" s="86" t="inlineStr">
        <is>
          <t xml:space="preserve">No priorizada: la automatización de software (RPA) va en la fila de automatización de procesos</t>
        </is>
      </c>
      <c r="C20" s="34"/>
      <c r="D20" s="34"/>
      <c r="E20" s="34"/>
      <c r="F20" s="34"/>
      <c r="G20" s="34"/>
      <c r="H20" s="34"/>
      <c r="I20" s="34"/>
      <c r="J20" s="34"/>
      <c r="K20" s="87"/>
    </row>
    <row r="21" spans="1:11" x14ac:dyDescent="0.25">
      <c r="A21" s="22" t="s">
        <v>91</v>
      </c>
      <c r="B21" s="86" t="inlineStr">
        <is>
          <t xml:space="preserve">No priorizada: sin caso de uso</t>
        </is>
      </c>
      <c r="C21" s="51"/>
      <c r="D21" s="51"/>
      <c r="E21" s="51"/>
      <c r="F21" s="51"/>
      <c r="G21" s="51"/>
      <c r="H21" s="51"/>
      <c r="I21" s="51"/>
      <c r="J21" s="51"/>
      <c r="K21" s="58"/>
    </row>
    <row r="22" spans="1:11" x14ac:dyDescent="0.25">
      <c r="A22" s="22" t="s">
        <v>342</v>
      </c>
      <c r="B22" s="86" t="inlineStr">
        <is>
          <t xml:space="preserve">Se trata dentro de la IA generativa (P4.2)</t>
        </is>
      </c>
      <c r="C22" s="51"/>
      <c r="D22" s="51"/>
      <c r="E22" s="51"/>
      <c r="F22" s="51"/>
      <c r="G22" s="51"/>
      <c r="H22" s="51"/>
      <c r="I22" s="51"/>
      <c r="J22" s="51"/>
      <c r="K22" s="58"/>
    </row>
    <row r="23" spans="1:11" x14ac:dyDescent="0.25">
      <c r="A23" s="22" t="s">
        <v>343</v>
      </c>
      <c r="B23" s="86" t="inlineStr">
        <is>
          <t xml:space="preserve">No priorizada: sin caso de uso</t>
        </is>
      </c>
      <c r="C23" s="51"/>
      <c r="D23" s="51"/>
      <c r="E23" s="51"/>
      <c r="F23" s="51"/>
      <c r="G23" s="51"/>
      <c r="H23" s="51"/>
      <c r="I23" s="51"/>
      <c r="J23" s="51"/>
      <c r="K23" s="58"/>
    </row>
    <row r="24" spans="1:11" thickBot="1" x14ac:dyDescent="0.3">
      <c r="A24" s="23" t="inlineStr">
        <is>
          <t xml:space="preserve">Automatización de procesos (BPMS, RPA)</t>
        </is>
      </c>
      <c r="B24" s="88" t="inlineStr">
        <is>
          <t xml:space="preserve">Propuesta en el PETI 2026-2027 (pág. 68). Uso previsto: Reemplazar hojas de cálculo en comercial y servicio</t>
        </is>
      </c>
      <c r="C24" s="89" t="inlineStr">
        <is>
          <t xml:space="preserve">X</t>
        </is>
      </c>
      <c r="D24" s="89"/>
      <c r="E24" s="89"/>
      <c r="F24" s="89"/>
      <c r="G24" s="89"/>
      <c r="H24" s="89"/>
      <c r="I24" s="89" t="inlineStr">
        <is>
          <t xml:space="preserve">X</t>
        </is>
      </c>
      <c r="J24" s="89"/>
      <c r="K24" s="90"/>
    </row>
    <row r="25">
      <c r="A25" s="23" t="inlineStr">
        <is>
          <t xml:space="preserve">Conectividad satelital</t>
        </is>
      </c>
      <c r="B25" s="88" t="inlineStr">
        <is>
          <t xml:space="preserve">1.818 sedes educativas y 81 sedes de salud (Informe de gestión 2025, pág. 90). Uso previsto: Contexto de demanda; fuera del alcance de proyectos</t>
        </is>
      </c>
      <c r="C25" s="89"/>
      <c r="D25" s="89"/>
      <c r="E25" s="89" t="inlineStr">
        <is>
          <t xml:space="preserve">X</t>
        </is>
      </c>
      <c r="F25" s="89"/>
      <c r="G25" s="89"/>
      <c r="H25" s="89"/>
      <c r="I25" s="89" t="inlineStr">
        <is>
          <t xml:space="preserve">X</t>
        </is>
      </c>
      <c r="J25" s="89"/>
      <c r="K25" s="90"/>
    </row>
  </sheetData>
  <mergeCells count="5">
    <mergeCell ref="A8:B8"/>
    <mergeCell ref="C8:E8"/>
    <mergeCell ref="F8:H8"/>
    <mergeCell ref="I8:K8"/>
    <mergeCell ref="A7:K7"/>
  </mergeCells>
  <pageMargins left="0.70866141732283472" right="0.70866141732283472" top="0.74803149606299213" bottom="0.74803149606299213" header="0.31496062992125984" footer="0.31496062992125984"/>
  <pageSetup scale="72" fitToHeight="0" orientation="landscape"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A0142-E1A6-4E28-B8CF-EAF755B1957B}">
  <sheetPr>
    <pageSetUpPr fitToPage="1"/>
  </sheetPr>
  <dimension ref="A6:I20"/>
  <sheetViews>
    <sheetView showGridLines="0" workbookViewId="0">
      <selection activeCell="C8" sqref="C8:I8"/>
    </sheetView>
  </sheetViews>
  <sheetFormatPr baseColWidth="10" defaultColWidth="11.42578125" defaultRowHeight="15" x14ac:dyDescent="0.25"/>
  <cols>
    <col min="2" max="2" width="18.5703125" customWidth="1"/>
    <col min="3" max="3" width="28.28515625" customWidth="1"/>
    <col min="6" max="6" width="49.7109375" customWidth="1"/>
  </cols>
  <sheetData>
    <row r="6" spans="1:9" ht="20.25" customHeight="1" x14ac:dyDescent="0.25">
      <c r="A6" s="214" t="s">
        <v>22</v>
      </c>
      <c r="B6" s="169"/>
      <c r="C6" s="169"/>
      <c r="D6" s="169"/>
      <c r="E6" s="169"/>
      <c r="F6" s="169"/>
      <c r="G6" s="169"/>
      <c r="H6" s="169"/>
      <c r="I6" s="169"/>
    </row>
    <row r="7" spans="1:9" thickBot="1" x14ac:dyDescent="0.3">
      <c r="A7" s="211" t="s">
        <v>23</v>
      </c>
      <c r="B7" s="211"/>
      <c r="C7" s="215" t="inlineStr">
        <is>
          <t xml:space="preserve">Proveer y gobernar la tecnología con la que Valor+ opera y presta sus servicios, con procesos digitales, datos confiables, infraestructura disponible y seguridad medida, para que la empresa cumpla su plan estratégico y entregue a sus clientes públicos servicios con los niveles acordados.</t>
        </is>
      </c>
      <c r="D7" s="215"/>
      <c r="E7" s="215"/>
      <c r="F7" s="215"/>
      <c r="G7" s="215"/>
      <c r="H7" s="215"/>
      <c r="I7" s="215"/>
    </row>
    <row r="8" spans="1:9" thickBot="1" x14ac:dyDescent="0.3">
      <c r="A8" s="212" t="s">
        <v>24</v>
      </c>
      <c r="B8" s="213"/>
      <c r="C8" s="215" t="inlineStr">
        <is>
          <t xml:space="preserve">A 2030, la TI de Valor+ será gestionada como un conjunto de servicios con niveles acordados y medidos. Los procesos misionales y de apoyo estarán soportados en sistemas integrados y no en hojas de cálculo, y la seguridad de la información tendrá una madurez de 76 sobre 100 en la escala del MSPI. La TI interna tendrá el mismo nivel de servicio que la TI que la empresa vende.</t>
        </is>
      </c>
      <c r="D8" s="215"/>
      <c r="E8" s="215"/>
      <c r="F8" s="215"/>
      <c r="G8" s="215"/>
      <c r="H8" s="215"/>
      <c r="I8" s="215"/>
    </row>
    <row r="9" spans="1:9" ht="15.75" x14ac:dyDescent="0.25">
      <c r="A9" s="186" t="s">
        <v>345</v>
      </c>
      <c r="B9" s="175"/>
      <c r="C9" s="187"/>
      <c r="D9" s="186" t="s">
        <v>25</v>
      </c>
      <c r="E9" s="175"/>
      <c r="F9" s="175"/>
      <c r="G9" s="175"/>
      <c r="H9" s="175"/>
      <c r="I9" s="187"/>
      <c r="J9" s="187"/>
    </row>
    <row r="10" spans="1:9" thickBot="1" x14ac:dyDescent="0.3">
      <c r="A10" s="23" t="s">
        <v>20</v>
      </c>
      <c r="B10" s="93" t="s">
        <v>224</v>
      </c>
      <c r="C10" s="94" t="s">
        <v>344</v>
      </c>
      <c r="D10" s="95" t="s">
        <v>20</v>
      </c>
      <c r="E10" s="96" t="s">
        <v>3</v>
      </c>
      <c r="F10" s="96" t="s">
        <v>346</v>
      </c>
      <c r="G10" s="96" t="inlineStr">
        <is>
          <t xml:space="preserve">Año 1 (2027)</t>
        </is>
      </c>
      <c r="H10" s="96" t="inlineStr">
        <is>
          <t xml:space="preserve">Año 2 (2028)</t>
        </is>
      </c>
      <c r="I10" s="94" t="inlineStr">
        <is>
          <t xml:space="preserve">Año 3 (2029)</t>
        </is>
      </c>
      <c r="J10" s="94" t="inlineStr">
        <is>
          <t xml:space="preserve">Año 4 (2030)</t>
        </is>
      </c>
    </row>
    <row r="11" spans="1:9" x14ac:dyDescent="0.25">
      <c r="A11" s="216" t="inlineStr">
        <is>
          <t xml:space="preserve">OETI01</t>
        </is>
      </c>
      <c r="B11" s="91" t="inlineStr">
        <is>
          <t xml:space="preserve">Formalizar el gobierno y la gestión de la TI: Instancia de decisión de TI, responsabilidades, procesos de gestión documentados y presupuesto de TI visible. Perspectiva: Procesos internos</t>
        </is>
      </c>
      <c r="C11" s="92" t="inlineStr">
        <is>
          <t xml:space="preserve">OC01, OC02</t>
        </is>
      </c>
      <c r="D11" s="97" t="inlineStr">
        <is>
          <t xml:space="preserve">METI01</t>
        </is>
      </c>
      <c r="E11" s="91" t="inlineStr">
        <is>
          <t xml:space="preserve">Subir la calificación de la auditoría interna al proceso de Gestión de TI (KPI-01)</t>
        </is>
      </c>
      <c r="F11" s="91" t="inlineStr">
        <is>
          <t xml:space="preserve">49 % (2025; Informe de gestión 2025, pág. 49)</t>
        </is>
      </c>
      <c r="G11" s="91" t="inlineStr">
        <is>
          <t xml:space="preserve">70 %</t>
        </is>
      </c>
      <c r="H11" s="91" t="inlineStr">
        <is>
          <t xml:space="preserve">80 %</t>
        </is>
      </c>
      <c r="I11" s="92" t="inlineStr">
        <is>
          <t xml:space="preserve">90 %</t>
        </is>
      </c>
      <c r="J11" s="92" t="inlineStr">
        <is>
          <t xml:space="preserve">90 %</t>
        </is>
      </c>
    </row>
    <row r="12" spans="1:9" x14ac:dyDescent="0.25">
      <c r="A12" s="217"/>
      <c r="B12" s="51"/>
      <c r="C12" s="58"/>
      <c r="D12" s="98" t="inlineStr">
        <is>
          <t xml:space="preserve">METI02</t>
        </is>
      </c>
      <c r="E12" s="51" t="inlineStr">
        <is>
          <t xml:space="preserve">Terminar en la fecha planeada los proyectos del PETI de cada vigencia (KPI-02)</t>
        </is>
      </c>
      <c r="F12" s="51" t="inlineStr">
        <is>
          <t xml:space="preserve">No aplica (plan nuevo)</t>
        </is>
      </c>
      <c r="G12" s="51" t="inlineStr">
        <is>
          <t xml:space="preserve">80 %</t>
        </is>
      </c>
      <c r="H12" s="51" t="inlineStr">
        <is>
          <t xml:space="preserve">80 %</t>
        </is>
      </c>
      <c r="I12" s="58" t="inlineStr">
        <is>
          <t xml:space="preserve">85 %</t>
        </is>
      </c>
      <c r="J12" s="58" t="inlineStr">
        <is>
          <t xml:space="preserve">90 %</t>
        </is>
      </c>
    </row>
    <row r="13" spans="1:9" x14ac:dyDescent="0.25">
      <c r="A13" s="217" t="s">
        <v>97</v>
      </c>
      <c r="B13" s="51"/>
      <c r="C13" s="58"/>
      <c r="D13" s="98" t="inlineStr">
        <is>
          <t xml:space="preserve">METI03</t>
        </is>
      </c>
      <c r="E13" s="51" t="inlineStr">
        <is>
          <t xml:space="preserve">Mejorar el puntaje del FURAG en Gobierno Digital y Seguridad Digital (promedio) (KPI-03)</t>
        </is>
      </c>
      <c r="F13" s="51" t="inlineStr">
        <is>
          <t xml:space="preserve">85,75 (FURAG 2024: 86,3 y 85,2; Informe de gestión 2025, pág. 11)</t>
        </is>
      </c>
      <c r="G13" s="51" t="inlineStr">
        <is>
          <t xml:space="preserve">86</t>
        </is>
      </c>
      <c r="H13" s="51" t="inlineStr">
        <is>
          <t xml:space="preserve">87</t>
        </is>
      </c>
      <c r="I13" s="58" t="inlineStr">
        <is>
          <t xml:space="preserve">88</t>
        </is>
      </c>
      <c r="J13" s="58" t="inlineStr">
        <is>
          <t xml:space="preserve">90</t>
        </is>
      </c>
    </row>
    <row r="14" spans="1:9" x14ac:dyDescent="0.25">
      <c r="A14" s="217" t="inlineStr">
        <is>
          <t xml:space="preserve">OETI02</t>
        </is>
      </c>
      <c r="B14" s="51" t="inlineStr">
        <is>
          <t xml:space="preserve">Gestionar la TI como servicios con niveles acordados: Catálogo único de servicios de TI internos y vendidos, con ANS, responsable y satisfacción medida. Perspectiva: Clientes</t>
        </is>
      </c>
      <c r="C14" s="58" t="inlineStr">
        <is>
          <t xml:space="preserve">OC04, OC05</t>
        </is>
      </c>
      <c r="D14" s="98" t="inlineStr">
        <is>
          <t xml:space="preserve">METI04</t>
        </is>
      </c>
      <c r="E14" s="51" t="inlineStr">
        <is>
          <t xml:space="preserve">Medir con ANS los servicios del catálogo de TI (KPI-04)</t>
        </is>
      </c>
      <c r="F14" s="51" t="inlineStr">
        <is>
          <t xml:space="preserve">0 % (no hay catálogo formal; numeral 6.1.3)</t>
        </is>
      </c>
      <c r="G14" s="51" t="inlineStr">
        <is>
          <t xml:space="preserve">50 %</t>
        </is>
      </c>
      <c r="H14" s="51" t="inlineStr">
        <is>
          <t xml:space="preserve">80 %</t>
        </is>
      </c>
      <c r="I14" s="58" t="inlineStr">
        <is>
          <t xml:space="preserve">100 %</t>
        </is>
      </c>
      <c r="J14" s="58" t="inlineStr">
        <is>
          <t xml:space="preserve">100 %</t>
        </is>
      </c>
    </row>
    <row r="15" spans="1:9" x14ac:dyDescent="0.25">
      <c r="A15" s="217" t="s">
        <v>100</v>
      </c>
      <c r="B15" s="51"/>
      <c r="C15" s="58"/>
      <c r="D15" s="98" t="inlineStr">
        <is>
          <t xml:space="preserve">METI05</t>
        </is>
      </c>
      <c r="E15" s="51" t="inlineStr">
        <is>
          <t xml:space="preserve">Mejorar la satisfacción de los usuarios internos con los servicios de TI (KPI-05)</t>
        </is>
      </c>
      <c r="F15" s="51" t="inlineStr">
        <is>
          <t xml:space="preserve">Sin medición; se mide en 2027</t>
        </is>
      </c>
      <c r="G15" s="51" t="inlineStr">
        <is>
          <t xml:space="preserve">Línea base</t>
        </is>
      </c>
      <c r="H15" s="51" t="inlineStr">
        <is>
          <t xml:space="preserve">≥ 80 %</t>
        </is>
      </c>
      <c r="I15" s="58" t="inlineStr">
        <is>
          <t xml:space="preserve">≥ 85 %</t>
        </is>
      </c>
      <c r="J15" s="58" t="inlineStr">
        <is>
          <t xml:space="preserve">≥ 85 %</t>
        </is>
      </c>
    </row>
    <row r="16" spans="1:9" x14ac:dyDescent="0.25">
      <c r="A16" s="217" t="inlineStr">
        <is>
          <t xml:space="preserve">OETI03</t>
        </is>
      </c>
      <c r="B16" s="51" t="inlineStr">
        <is>
          <t xml:space="preserve">Digitalizar los procesos misionales y de apoyo: Sistemas integrados que reemplacen las hojas de cálculo en los procesos comercial, de servicio, contractual y financiero. Perspectiva: Procesos internos</t>
        </is>
      </c>
      <c r="C16" s="58" t="inlineStr">
        <is>
          <t xml:space="preserve">OC02, OC03</t>
        </is>
      </c>
      <c r="D16" s="98" t="inlineStr">
        <is>
          <t xml:space="preserve">METI06</t>
        </is>
      </c>
      <c r="E16" s="51" t="inlineStr">
        <is>
          <t xml:space="preserve">Aumentar los procesos con cobertura total de sistemas de información (KPI-06)</t>
        </is>
      </c>
      <c r="F16" s="51" t="inlineStr">
        <is>
          <t xml:space="preserve">12,5 % (2 de 16; numeral 5.1.5)</t>
        </is>
      </c>
      <c r="G16" s="51" t="inlineStr">
        <is>
          <t xml:space="preserve">12,5 %</t>
        </is>
      </c>
      <c r="H16" s="51" t="inlineStr">
        <is>
          <t xml:space="preserve">37,5 %</t>
        </is>
      </c>
      <c r="I16" s="58" t="inlineStr">
        <is>
          <t xml:space="preserve">62,5 %</t>
        </is>
      </c>
      <c r="J16" s="58" t="inlineStr">
        <is>
          <t xml:space="preserve">81 %</t>
        </is>
      </c>
    </row>
    <row r="17" spans="1:9" x14ac:dyDescent="0.25">
      <c r="A17" s="217" t="inlineStr">
        <is>
          <t xml:space="preserve">OETI04</t>
        </is>
      </c>
      <c r="B17" s="51" t="inlineStr">
        <is>
          <t xml:space="preserve">Gobernar y aprovechar los datos: Datos con responsable y reglas de calidad, información centralizada y analítica para decidir. Perspectiva: Aprendizaje y crecimiento</t>
        </is>
      </c>
      <c r="C17" s="58" t="inlineStr">
        <is>
          <t xml:space="preserve">OC01, OC04</t>
        </is>
      </c>
      <c r="D17" s="98" t="inlineStr">
        <is>
          <t xml:space="preserve">METI07</t>
        </is>
      </c>
      <c r="E17" s="51" t="inlineStr">
        <is>
          <t xml:space="preserve">Asignar responsable y reglas de calidad a las entidades de información críticas (KPI-07)</t>
        </is>
      </c>
      <c r="F17" s="51" t="inlineStr">
        <is>
          <t xml:space="preserve">0 % (numeral 6.3.1)</t>
        </is>
      </c>
      <c r="G17" s="51" t="inlineStr">
        <is>
          <t xml:space="preserve">Inventario</t>
        </is>
      </c>
      <c r="H17" s="51" t="inlineStr">
        <is>
          <t xml:space="preserve">40 %</t>
        </is>
      </c>
      <c r="I17" s="58" t="inlineStr">
        <is>
          <t xml:space="preserve">80 %</t>
        </is>
      </c>
      <c r="J17" s="58" t="inlineStr">
        <is>
          <t xml:space="preserve">100 %</t>
        </is>
      </c>
    </row>
    <row r="18" spans="1:9" x14ac:dyDescent="0.25">
      <c r="A18" s="217" t="inlineStr">
        <is>
          <t xml:space="preserve">OETI05</t>
        </is>
      </c>
      <c r="B18" s="51" t="inlineStr">
        <is>
          <t xml:space="preserve">Asegurar una infraestructura disponible y recuperable: Servicios críticos en la nube o con contingencia, capacidad planeada, recuperación probada e IPv6. Perspectiva: Procesos internos</t>
        </is>
      </c>
      <c r="C18" s="58" t="inlineStr">
        <is>
          <t xml:space="preserve">OC03, OC04</t>
        </is>
      </c>
      <c r="D18" s="98" t="inlineStr">
        <is>
          <t xml:space="preserve">METI08</t>
        </is>
      </c>
      <c r="E18" s="51" t="inlineStr">
        <is>
          <t xml:space="preserve">Migrar a la nube o dar contingencia a los servicios críticos que siguen en sitio (KPI-08)</t>
        </is>
      </c>
      <c r="F18" s="51" t="inlineStr">
        <is>
          <t xml:space="preserve">0 de 5 (numeral 6.5.1)</t>
        </is>
      </c>
      <c r="G18" s="51" t="inlineStr">
        <is>
          <t xml:space="preserve">0 %</t>
        </is>
      </c>
      <c r="H18" s="51" t="inlineStr">
        <is>
          <t xml:space="preserve">60 %</t>
        </is>
      </c>
      <c r="I18" s="58" t="inlineStr">
        <is>
          <t xml:space="preserve">100 %</t>
        </is>
      </c>
      <c r="J18" s="58" t="inlineStr">
        <is>
          <t xml:space="preserve">100 %</t>
        </is>
      </c>
    </row>
    <row r="19" spans="1:9" x14ac:dyDescent="0.25">
      <c r="A19" s="217" t="s">
        <v>106</v>
      </c>
      <c r="B19" s="51"/>
      <c r="C19" s="58"/>
      <c r="D19" s="98" t="inlineStr">
        <is>
          <t xml:space="preserve">METI09</t>
        </is>
      </c>
      <c r="E19" s="51" t="inlineStr">
        <is>
          <t xml:space="preserve">Probar con éxito la recuperación de los servicios críticos (KPI-09)</t>
        </is>
      </c>
      <c r="F19" s="51" t="inlineStr">
        <is>
          <t xml:space="preserve">0 pruebas (numeral 6.5.3)</t>
        </is>
      </c>
      <c r="G19" s="51" t="inlineStr">
        <is>
          <t xml:space="preserve">1</t>
        </is>
      </c>
      <c r="H19" s="51" t="inlineStr">
        <is>
          <t xml:space="preserve">2</t>
        </is>
      </c>
      <c r="I19" s="58" t="inlineStr">
        <is>
          <t xml:space="preserve">2</t>
        </is>
      </c>
      <c r="J19" s="58" t="inlineStr">
        <is>
          <t xml:space="preserve">2</t>
        </is>
      </c>
    </row>
    <row r="20" spans="1:9" thickBot="1" x14ac:dyDescent="0.3">
      <c r="A20" s="218" t="inlineStr">
        <is>
          <t xml:space="preserve">OETI06</t>
        </is>
      </c>
      <c r="B20" s="63" t="inlineStr">
        <is>
          <t xml:space="preserve">Elevar la madurez de seguridad y la apropiación de la TI: MSPI operado y medido, incidentes gestionados y colaboradores formados. Perspectiva: Aprendizaje y crecimiento</t>
        </is>
      </c>
      <c r="C20" s="64" t="inlineStr">
        <is>
          <t xml:space="preserve">OC01, OC05</t>
        </is>
      </c>
      <c r="D20" s="99" t="inlineStr">
        <is>
          <t xml:space="preserve">METI10</t>
        </is>
      </c>
      <c r="E20" s="63" t="inlineStr">
        <is>
          <t xml:space="preserve">Subir la madurez de seguridad de la información en la escala del MSPI (KPI-10)</t>
        </is>
      </c>
      <c r="F20" s="63" t="inlineStr">
        <is>
          <t xml:space="preserve">47 (estimación del equipo; numeral 6.7)</t>
        </is>
      </c>
      <c r="G20" s="63" t="inlineStr">
        <is>
          <t xml:space="preserve">55</t>
        </is>
      </c>
      <c r="H20" s="63" t="inlineStr">
        <is>
          <t xml:space="preserve">63</t>
        </is>
      </c>
      <c r="I20" s="64" t="inlineStr">
        <is>
          <t xml:space="preserve">70</t>
        </is>
      </c>
      <c r="J20" s="64" t="inlineStr">
        <is>
          <t xml:space="preserve">76</t>
        </is>
      </c>
    </row>
    <row r="21">
      <c r="A21" s="217"/>
      <c r="B21" s="51"/>
      <c r="C21" s="58"/>
      <c r="D21" s="98" t="inlineStr">
        <is>
          <t xml:space="preserve">METI11</t>
        </is>
      </c>
      <c r="E21" s="51" t="inlineStr">
        <is>
          <t xml:space="preserve">Formar en uso de TI y seguridad a los colaboradores cada año (KPI-11)</t>
        </is>
      </c>
      <c r="F21" s="51" t="inlineStr">
        <is>
          <t xml:space="preserve">Sin medición (numeral 6.6.1)</t>
        </is>
      </c>
      <c r="G21" s="51" t="inlineStr">
        <is>
          <t xml:space="preserve">40 %</t>
        </is>
      </c>
      <c r="H21" s="51" t="inlineStr">
        <is>
          <t xml:space="preserve">70 %</t>
        </is>
      </c>
      <c r="I21" s="58" t="inlineStr">
        <is>
          <t xml:space="preserve">85 %</t>
        </is>
      </c>
      <c r="J21" s="58" t="inlineStr">
        <is>
          <t xml:space="preserve">90 %</t>
        </is>
      </c>
    </row>
  </sheetData>
  <mergeCells count="11">
    <mergeCell ref="A9:C9"/>
    <mergeCell ref="A7:B7"/>
    <mergeCell ref="A8:B8"/>
    <mergeCell ref="A6:I6"/>
    <mergeCell ref="C7:I7"/>
    <mergeCell ref="C8:I8"/>
    <mergeCell ref="D9:J9"/>
    <mergeCell ref="A11:A13"/>
    <mergeCell ref="A14:A15"/>
    <mergeCell ref="A18:A19"/>
    <mergeCell ref="A20:A21"/>
  </mergeCells>
  <phoneticPr fontId="14" type="noConversion"/>
  <pageMargins left="0.7" right="0.7" top="0.75" bottom="0.75" header="0.3" footer="0.3"/>
  <pageSetup scale="74" fitToHeight="0" orientation="landscape" verticalDpi="0" r:id="rId1"/>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BEABC-9218-4086-BC7D-8C00ED0B997B}">
  <sheetPr>
    <pageSetUpPr fitToPage="1"/>
  </sheetPr>
  <dimension ref="A5:H47"/>
  <sheetViews>
    <sheetView showGridLines="0" workbookViewId="0">
      <selection activeCell="C46" sqref="C46"/>
    </sheetView>
  </sheetViews>
  <sheetFormatPr baseColWidth="10" defaultColWidth="13.85546875" defaultRowHeight="15" x14ac:dyDescent="0.25"/>
  <cols>
    <col min="1" max="1" width="6.28515625" customWidth="1"/>
    <col min="2" max="2" width="22.42578125" customWidth="1"/>
    <col min="3" max="3" width="33.7109375" customWidth="1"/>
    <col min="4" max="4" width="26.28515625" customWidth="1"/>
    <col min="5" max="5" width="29.42578125" customWidth="1"/>
    <col min="6" max="6" width="18.140625" customWidth="1"/>
    <col min="7" max="7" width="15.7109375" bestFit="1" customWidth="1"/>
  </cols>
  <sheetData>
    <row r="5" spans="1:8" ht="15.75" thickBot="1" x14ac:dyDescent="0.3"/>
    <row r="6" spans="1:8" ht="19.149999999999999" customHeight="1" thickBot="1" x14ac:dyDescent="0.3">
      <c r="A6" s="219" t="s">
        <v>109</v>
      </c>
      <c r="B6" s="220"/>
      <c r="C6" s="220"/>
      <c r="D6" s="220"/>
      <c r="E6" s="220"/>
      <c r="F6" s="220"/>
      <c r="G6" s="220"/>
      <c r="H6" s="221"/>
    </row>
    <row r="7" spans="1:8" ht="55.5" customHeight="1" x14ac:dyDescent="0.25">
      <c r="A7" s="100" t="s">
        <v>20</v>
      </c>
      <c r="B7" s="101" t="s">
        <v>423</v>
      </c>
      <c r="C7" s="101" t="s">
        <v>110</v>
      </c>
      <c r="D7" s="101" t="s">
        <v>111</v>
      </c>
      <c r="E7" s="101" t="s">
        <v>422</v>
      </c>
      <c r="F7" s="101" t="s">
        <v>112</v>
      </c>
      <c r="G7" s="101" t="s">
        <v>113</v>
      </c>
      <c r="H7" s="102" t="s">
        <v>114</v>
      </c>
    </row>
    <row r="8" spans="1:8" x14ac:dyDescent="0.25">
      <c r="A8" s="103" t="inlineStr">
        <is>
          <t xml:space="preserve">B001</t>
        </is>
      </c>
      <c r="B8" s="34" t="inlineStr">
        <is>
          <t xml:space="preserve">PM01 (Gestión de TI)</t>
        </is>
      </c>
      <c r="C8" s="34" t="inlineStr">
        <is>
          <t xml:space="preserve">BRE-001: Comité de TI y esquema de decisiones con montos (dominio: Gobierno de TI)</t>
        </is>
      </c>
      <c r="D8" s="34" t="inlineStr">
        <is>
          <t xml:space="preserve">Crear</t>
        </is>
      </c>
      <c r="E8" s="34" t="inlineStr">
        <is>
          <t xml:space="preserve">G1, G9: ningún comité revisa el portafolio de TI completo; el escalamiento no define montos. Situación objetivo: Sesión mensual de TI del Comité Directivo y tabla de decisiones (7.2)</t>
        </is>
      </c>
      <c r="F8" s="34" t="inlineStr">
        <is>
          <t xml:space="preserve">6 meses</t>
        </is>
      </c>
      <c r="G8" s="34" t="inlineStr">
        <is>
          <t xml:space="preserve">Bajo: menos de COP 200 millones</t>
        </is>
      </c>
      <c r="H8" s="87" t="inlineStr">
        <is>
          <t xml:space="preserve">No. Proyecto propuesto: P1.1</t>
        </is>
      </c>
    </row>
    <row r="9" spans="1:8" x14ac:dyDescent="0.25">
      <c r="A9" s="103" t="inlineStr">
        <is>
          <t xml:space="preserve">B002</t>
        </is>
      </c>
      <c r="B9" s="34" t="inlineStr">
        <is>
          <t xml:space="preserve">PM01 (Gestión de TI)</t>
        </is>
      </c>
      <c r="C9" s="34" t="inlineStr">
        <is>
          <t xml:space="preserve">BRE-002: Roles de seguridad y de gobierno de datos; matriz RACI (dominio: Gobierno de TI)</t>
        </is>
      </c>
      <c r="D9" s="34" t="inlineStr">
        <is>
          <t xml:space="preserve">Crear</t>
        </is>
      </c>
      <c r="E9" s="34" t="inlineStr">
        <is>
          <t xml:space="preserve">G7, G8: sin cargo dedicado a seguridad ni responsable de datos; sin RACI. Situación objetivo: Dos roles nuevos y RACI (7.2.4)</t>
        </is>
      </c>
      <c r="F9" s="34" t="inlineStr">
        <is>
          <t xml:space="preserve">6 meses</t>
        </is>
      </c>
      <c r="G9" s="34" t="inlineStr">
        <is>
          <t xml:space="preserve">Medio: COP 200 a 700 millones</t>
        </is>
      </c>
      <c r="H9" s="87" t="inlineStr">
        <is>
          <t xml:space="preserve">No. Proyecto propuesto: P1.1</t>
        </is>
      </c>
    </row>
    <row r="10" spans="1:8" x14ac:dyDescent="0.25">
      <c r="A10" s="103" t="inlineStr">
        <is>
          <t xml:space="preserve">B003</t>
        </is>
      </c>
      <c r="B10" s="34" t="inlineStr">
        <is>
          <t xml:space="preserve">PM01 (Gestión de TI)</t>
        </is>
      </c>
      <c r="C10" s="34" t="inlineStr">
        <is>
          <t xml:space="preserve">BRE-003: Presupuesto de TI propio (dominio: Gobierno de TI)</t>
        </is>
      </c>
      <c r="D10" s="34" t="inlineStr">
        <is>
          <t xml:space="preserve">Crear</t>
        </is>
      </c>
      <c r="E10" s="34" t="inlineStr">
        <is>
          <t xml:space="preserve">G3: el presupuesto de TI no se ve por separado. Situación objetivo: Presupuesto de TI revisado cada trimestre (7.2)</t>
        </is>
      </c>
      <c r="F10" s="34" t="inlineStr">
        <is>
          <t xml:space="preserve">6 meses</t>
        </is>
      </c>
      <c r="G10" s="34" t="inlineStr">
        <is>
          <t xml:space="preserve">Bajo: menos de COP 200 millones</t>
        </is>
      </c>
      <c r="H10" s="87" t="inlineStr">
        <is>
          <t xml:space="preserve">No. Proyecto propuesto: P1.1</t>
        </is>
      </c>
    </row>
    <row r="11" spans="1:8" x14ac:dyDescent="0.25">
      <c r="A11" s="103" t="inlineStr">
        <is>
          <t xml:space="preserve">B004</t>
        </is>
      </c>
      <c r="B11" s="34" t="inlineStr">
        <is>
          <t xml:space="preserve">PM01 (Gestión de TI)</t>
        </is>
      </c>
      <c r="C11" s="34" t="inlineStr">
        <is>
          <t xml:space="preserve">BRE-004: Procesos de gestión de TI y procedimientos (dominio: Gobierno de TI)</t>
        </is>
      </c>
      <c r="D11" s="34" t="inlineStr">
        <is>
          <t xml:space="preserve">Modificar</t>
        </is>
      </c>
      <c r="E11" s="34" t="inlineStr">
        <is>
          <t xml:space="preserve">G5, G6, E5: auditoría de TI en 49 %; procedimientos desactualizados; sin procedimiento de pruebas y cambios. Situación objetivo: Procesos COBIT priorizados en nivel 3 (7.2.3); ciclo de vida de SI (7.4.4)</t>
        </is>
      </c>
      <c r="F11" s="34" t="inlineStr">
        <is>
          <t xml:space="preserve">11 meses</t>
        </is>
      </c>
      <c r="G11" s="34" t="inlineStr">
        <is>
          <t xml:space="preserve">Bajo: menos de COP 200 millones</t>
        </is>
      </c>
      <c r="H11" s="87" t="inlineStr">
        <is>
          <t xml:space="preserve">No. Proyecto propuesto: P1.2</t>
        </is>
      </c>
    </row>
    <row r="12" spans="1:8" x14ac:dyDescent="0.25">
      <c r="A12" s="103" t="inlineStr">
        <is>
          <t xml:space="preserve">B005</t>
        </is>
      </c>
      <c r="B12" s="34" t="inlineStr">
        <is>
          <t xml:space="preserve">PE03</t>
        </is>
      </c>
      <c r="C12" s="34" t="inlineStr">
        <is>
          <t xml:space="preserve">BRE-005: Gestión de proyectos de TI (dominio: Gobierno de TI)</t>
        </is>
      </c>
      <c r="D12" s="34" t="inlineStr">
        <is>
          <t xml:space="preserve">Modificar</t>
        </is>
      </c>
      <c r="E12" s="34" t="inlineStr">
        <is>
          <t xml:space="preserve">G10: los proyectos de TI no usan la metodología de la PMO. Situación objetivo: Proyectos con ficha y seguimiento mensual (7.2.5)</t>
        </is>
      </c>
      <c r="F12" s="34" t="inlineStr">
        <is>
          <t xml:space="preserve">11 meses</t>
        </is>
      </c>
      <c r="G12" s="34" t="inlineStr">
        <is>
          <t xml:space="preserve">Bajo: menos de COP 200 millones</t>
        </is>
      </c>
      <c r="H12" s="87" t="inlineStr">
        <is>
          <t xml:space="preserve">No. Proyecto propuesto: P1.2</t>
        </is>
      </c>
    </row>
    <row r="13" spans="1:8" x14ac:dyDescent="0.25">
      <c r="A13" s="103" t="inlineStr">
        <is>
          <t xml:space="preserve">B006</t>
        </is>
      </c>
      <c r="B13" s="34" t="inlineStr">
        <is>
          <t xml:space="preserve">PM01 (Gestión de TI)</t>
        </is>
      </c>
      <c r="C13" s="34" t="inlineStr">
        <is>
          <t xml:space="preserve">BRE-006: Plan estratégico de TI con metas (dominio: Estrategia de TI)</t>
        </is>
      </c>
      <c r="D13" s="34" t="inlineStr">
        <is>
          <t xml:space="preserve">Modificar</t>
        </is>
      </c>
      <c r="E13" s="34" t="inlineStr">
        <is>
          <t xml:space="preserve">E1, E3, E4: visión sin metas, objetivos sin indicadores, sin DOFA ni catálogo de brechas. Situación objetivo: Este PETI, con revisión anual y actualización en 2030</t>
        </is>
      </c>
      <c r="F13" s="34" t="inlineStr">
        <is>
          <t xml:space="preserve">48 meses</t>
        </is>
      </c>
      <c r="G13" s="34" t="inlineStr">
        <is>
          <t xml:space="preserve">Bajo: menos de COP 200 millones</t>
        </is>
      </c>
      <c r="H13" s="87" t="inlineStr">
        <is>
          <t xml:space="preserve">No. Proyecto propuesto: P1.1, P4.1</t>
        </is>
      </c>
    </row>
    <row r="14" spans="1:8" x14ac:dyDescent="0.25">
      <c r="A14" s="103" t="inlineStr">
        <is>
          <t xml:space="preserve">B007</t>
        </is>
      </c>
      <c r="B14" s="34" t="inlineStr">
        <is>
          <t xml:space="preserve">PM01 (Gestión de TI)</t>
        </is>
      </c>
      <c r="C14" s="34" t="inlineStr">
        <is>
          <t xml:space="preserve">BRE-007: Catálogo de servicios de TI con ANS (dominio: Estrategia de TI)</t>
        </is>
      </c>
      <c r="D14" s="34" t="inlineStr">
        <is>
          <t xml:space="preserve">Crear</t>
        </is>
      </c>
      <c r="E14" s="34" t="inlineStr">
        <is>
          <t xml:space="preserve">E2: no hay catálogo oficial. Situación objetivo: Catálogo único, interno y vendido (7.1.4)</t>
        </is>
      </c>
      <c r="F14" s="34" t="inlineStr">
        <is>
          <t xml:space="preserve">10 meses</t>
        </is>
      </c>
      <c r="G14" s="34" t="inlineStr">
        <is>
          <t xml:space="preserve">Bajo: menos de COP 200 millones</t>
        </is>
      </c>
      <c r="H14" s="87" t="inlineStr">
        <is>
          <t xml:space="preserve">No. Proyecto propuesto: P1.3</t>
        </is>
      </c>
    </row>
    <row r="15" spans="1:8" x14ac:dyDescent="0.25">
      <c r="A15" s="103" t="inlineStr">
        <is>
          <t xml:space="preserve">B008</t>
        </is>
      </c>
      <c r="B15" s="34" t="inlineStr">
        <is>
          <t xml:space="preserve">PM01 (Gestión de TI)</t>
        </is>
      </c>
      <c r="C15" s="34" t="inlineStr">
        <is>
          <t xml:space="preserve">BRE-008: Indicadores de gestión de la TI interna (dominio: Estrategia de TI)</t>
        </is>
      </c>
      <c r="D15" s="34" t="inlineStr">
        <is>
          <t xml:space="preserve">Modificar</t>
        </is>
      </c>
      <c r="E15" s="34" t="inlineStr">
        <is>
          <t xml:space="preserve">E6: solo indicadores operativos y financieros. Situación objetivo: KPI-01 a KPI-11 en un tablero (7.1.6)</t>
        </is>
      </c>
      <c r="F15" s="34" t="inlineStr">
        <is>
          <t xml:space="preserve">10 meses</t>
        </is>
      </c>
      <c r="G15" s="34" t="inlineStr">
        <is>
          <t xml:space="preserve">Bajo: menos de COP 200 millones</t>
        </is>
      </c>
      <c r="H15" s="87" t="inlineStr">
        <is>
          <t xml:space="preserve">No. Proyecto propuesto: P1.3</t>
        </is>
      </c>
    </row>
    <row r="16" spans="1:8" x14ac:dyDescent="0.25">
      <c r="A16" s="103" t="inlineStr">
        <is>
          <t xml:space="preserve">B009</t>
        </is>
      </c>
      <c r="B16" s="34" t="inlineStr">
        <is>
          <t xml:space="preserve">PM01 (Gestión de TI)</t>
        </is>
      </c>
      <c r="C16" s="34" t="inlineStr">
        <is>
          <t xml:space="preserve">BRE-009: Gestión de incidentes y SOC propio (dominio: Seguridad de la información)</t>
        </is>
      </c>
      <c r="D16" s="34" t="inlineStr">
        <is>
          <t xml:space="preserve">Modificar</t>
        </is>
      </c>
      <c r="E16" s="34" t="inlineStr">
        <is>
          <t xml:space="preserve">SG1, SG2: política de incidentes no aplicada de forma constante; SOC en implementación. Situación objetivo: Procedimiento con tiempos y SOC operando (7.5)</t>
        </is>
      </c>
      <c r="F16" s="34" t="inlineStr">
        <is>
          <t xml:space="preserve">12 meses</t>
        </is>
      </c>
      <c r="G16" s="34" t="inlineStr">
        <is>
          <t xml:space="preserve">Medio: COP 200 a 700 millones</t>
        </is>
      </c>
      <c r="H16" s="87" t="inlineStr">
        <is>
          <t xml:space="preserve">Sí, parcial: SOC en implementación (PETI 2026-2027 de Valor+, pág. 44). Proyecto propuesto: P1.4</t>
        </is>
      </c>
    </row>
    <row r="17" spans="1:8" x14ac:dyDescent="0.25">
      <c r="A17" s="103" t="inlineStr">
        <is>
          <t xml:space="preserve">B010</t>
        </is>
      </c>
      <c r="B17" s="34" t="inlineStr">
        <is>
          <t xml:space="preserve">PA06, PA01, PA02, PE04</t>
        </is>
      </c>
      <c r="C17" s="34" t="inlineStr">
        <is>
          <t xml:space="preserve">BRE-010: ERP integrado (dominio: Sistemas de información)</t>
        </is>
      </c>
      <c r="D17" s="34" t="inlineStr">
        <is>
          <t xml:space="preserve">Modificar</t>
        </is>
      </c>
      <c r="E17" s="34" t="inlineStr">
        <is>
          <t xml:space="preserve">S2: ERP solo financiero; el integrado lleva dos años en requisitos. Situación objetivo: ERP con presupuesto público, contratos y facturación por proyecto (7.4.1)</t>
        </is>
      </c>
      <c r="F17" s="34" t="inlineStr">
        <is>
          <t xml:space="preserve">24 meses</t>
        </is>
      </c>
      <c r="G17" s="34" t="inlineStr">
        <is>
          <t xml:space="preserve">Alto: más de COP 700 millones</t>
        </is>
      </c>
      <c r="H17" s="87" t="inlineStr">
        <is>
          <t xml:space="preserve">No: ERP en estudio de mercado desde 2024. Proyecto propuesto: P1.5</t>
        </is>
      </c>
    </row>
    <row r="18" spans="1:8" x14ac:dyDescent="0.25">
      <c r="A18" s="103" t="inlineStr">
        <is>
          <t xml:space="preserve">B011</t>
        </is>
      </c>
      <c r="B18" s="34" t="inlineStr">
        <is>
          <t xml:space="preserve">PM01 (Gestión de TI)</t>
        </is>
      </c>
      <c r="C18" s="34" t="inlineStr">
        <is>
          <t xml:space="preserve">BRE-011: Continuidad y recuperación probada (dominio: Seguridad de la información)</t>
        </is>
      </c>
      <c r="D18" s="34" t="inlineStr">
        <is>
          <t xml:space="preserve">Modificar</t>
        </is>
      </c>
      <c r="E18" s="34" t="inlineStr">
        <is>
          <t xml:space="preserve">SG2: análisis de impacto hecho; plan sin implementar ni probar. Situación objetivo: Pruebas anuales con RTO y RPO (7.5)</t>
        </is>
      </c>
      <c r="F18" s="34" t="inlineStr">
        <is>
          <t xml:space="preserve">12 meses</t>
        </is>
      </c>
      <c r="G18" s="34" t="inlineStr">
        <is>
          <t xml:space="preserve">Medio: COP 200 a 700 millones</t>
        </is>
      </c>
      <c r="H18" s="87" t="inlineStr">
        <is>
          <t xml:space="preserve">Sí, parcial: fase 1 del BCP/DRP terminada en 2025 (Informe de gestión 2025, pág. 88). Proyecto propuesto: P1.6</t>
        </is>
      </c>
    </row>
    <row r="19" spans="1:8" x14ac:dyDescent="0.25">
      <c r="A19" s="103" t="inlineStr">
        <is>
          <t xml:space="preserve">B012</t>
        </is>
      </c>
      <c r="B19" s="34" t="inlineStr">
        <is>
          <t xml:space="preserve">PM01 (Gestión de TI)</t>
        </is>
      </c>
      <c r="C19" s="34" t="inlineStr">
        <is>
          <t xml:space="preserve">BRE-012: Gobierno de datos y política de IA (dominio: Gestión de información)</t>
        </is>
      </c>
      <c r="D19" s="34" t="inlineStr">
        <is>
          <t xml:space="preserve">Crear</t>
        </is>
      </c>
      <c r="E19" s="34" t="inlineStr">
        <is>
          <t xml:space="preserve">I1, I2, I6, G4: sin catálogo, responsables, calidad ni política de IA. Situación objetivo: Catálogo, responsables, reglas de calidad y políticas (7.3)</t>
        </is>
      </c>
      <c r="F19" s="34" t="inlineStr">
        <is>
          <t xml:space="preserve">12 meses</t>
        </is>
      </c>
      <c r="G19" s="34" t="inlineStr">
        <is>
          <t xml:space="preserve">Bajo: menos de COP 200 millones</t>
        </is>
      </c>
      <c r="H19" s="87" t="inlineStr">
        <is>
          <t xml:space="preserve">No. Proyecto propuesto: P2.1</t>
        </is>
      </c>
    </row>
    <row r="20" spans="1:8" x14ac:dyDescent="0.25">
      <c r="A20" s="103" t="inlineStr">
        <is>
          <t xml:space="preserve">B013</t>
        </is>
      </c>
      <c r="B20" s="34" t="inlineStr">
        <is>
          <t xml:space="preserve">PM02</t>
        </is>
      </c>
      <c r="C20" s="34" t="inlineStr">
        <is>
          <t xml:space="preserve">BRE-013: Sistema de gestión de clientes (CRM) (dominio: Sistemas de información)</t>
        </is>
      </c>
      <c r="D20" s="34" t="inlineStr">
        <is>
          <t xml:space="preserve">Crear</t>
        </is>
      </c>
      <c r="E20" s="34" t="inlineStr">
        <is>
          <t xml:space="preserve">S1: el proceso comercial trabaja en Excel. Situación objetivo: CRM conectado al ERP (7.4.1)</t>
        </is>
      </c>
      <c r="F20" s="34" t="inlineStr">
        <is>
          <t xml:space="preserve">11 meses</t>
        </is>
      </c>
      <c r="G20" s="34" t="inlineStr">
        <is>
          <t xml:space="preserve">Medio: COP 200 a 700 millones</t>
        </is>
      </c>
      <c r="H20" s="87" t="inlineStr">
        <is>
          <t xml:space="preserve">No. Proyecto propuesto: P2.2</t>
        </is>
      </c>
    </row>
    <row r="21" spans="1:8" x14ac:dyDescent="0.25">
      <c r="A21" s="103" t="inlineStr">
        <is>
          <t xml:space="preserve">B014</t>
        </is>
      </c>
      <c r="B21" s="34" t="inlineStr">
        <is>
          <t xml:space="preserve">PM01 (Gestión de TI)</t>
        </is>
      </c>
      <c r="C21" s="34" t="inlineStr">
        <is>
          <t xml:space="preserve">BRE-014: Herramienta de gestión de servicios de TI (dominio: Sistemas de información)</t>
        </is>
      </c>
      <c r="D21" s="34" t="inlineStr">
        <is>
          <t xml:space="preserve">Modificar</t>
        </is>
      </c>
      <c r="E21" s="34" t="inlineStr">
        <is>
          <t xml:space="preserve">S5: OTRS y GLPI sin prácticas de ITIL ni medición por contrato. Situación objetivo: Herramienta SaaS para mesas internas y de clientes (7.4.1)</t>
        </is>
      </c>
      <c r="F21" s="34" t="inlineStr">
        <is>
          <t xml:space="preserve">9 meses</t>
        </is>
      </c>
      <c r="G21" s="34" t="inlineStr">
        <is>
          <t xml:space="preserve">Medio: COP 200 a 700 millones</t>
        </is>
      </c>
      <c r="H21" s="87" t="inlineStr">
        <is>
          <t xml:space="preserve">No. Proyecto propuesto: P2.3</t>
        </is>
      </c>
    </row>
    <row r="22" spans="1:8" x14ac:dyDescent="0.25">
      <c r="A22" s="103" t="inlineStr">
        <is>
          <t xml:space="preserve">B015</t>
        </is>
      </c>
      <c r="B22" s="34" t="inlineStr">
        <is>
          <t xml:space="preserve">PM01 (Gestión de TI)</t>
        </is>
      </c>
      <c r="C22" s="34" t="inlineStr">
        <is>
          <t xml:space="preserve">BRE-015: Servicios críticos en sitio (dominio: Infraestructura de TI)</t>
        </is>
      </c>
      <c r="D22" s="34" t="inlineStr">
        <is>
          <t xml:space="preserve">Modificar</t>
        </is>
      </c>
      <c r="E22" s="34" t="inlineStr">
        <is>
          <t xml:space="preserve">T1, I3: archivos, directorio, intranet, telefonía y mesa en las sedes; información sin versiones. Situación objetivo: Los cinco en la nube o con contingencia (7.5.1)</t>
        </is>
      </c>
      <c r="F22" s="34" t="inlineStr">
        <is>
          <t xml:space="preserve">18 meses</t>
        </is>
      </c>
      <c r="G22" s="34" t="inlineStr">
        <is>
          <t xml:space="preserve">Medio: COP 200 a 700 millones</t>
        </is>
      </c>
      <c r="H22" s="87" t="inlineStr">
        <is>
          <t xml:space="preserve">No. Proyecto propuesto: P2.4</t>
        </is>
      </c>
    </row>
    <row r="23" spans="1:8" x14ac:dyDescent="0.25">
      <c r="A23" s="103" t="inlineStr">
        <is>
          <t xml:space="preserve">B016</t>
        </is>
      </c>
      <c r="B23" s="34" t="inlineStr">
        <is>
          <t xml:space="preserve">PA05</t>
        </is>
      </c>
      <c r="C23" s="34" t="inlineStr">
        <is>
          <t xml:space="preserve">BRE-016: Sistema de gestión de documentos electrónicos (SGDEA) (dominio: Gestión de información)</t>
        </is>
      </c>
      <c r="D23" s="34" t="inlineStr">
        <is>
          <t xml:space="preserve">Crear</t>
        </is>
      </c>
      <c r="E23" s="34" t="inlineStr">
        <is>
          <t xml:space="preserve">I7: SGDEA en diseño; tablas documentales sin convalidar. Situación objetivo: SGDEA con requisitos MoReq (7.3.3)</t>
        </is>
      </c>
      <c r="F23" s="34" t="inlineStr">
        <is>
          <t xml:space="preserve">21 meses</t>
        </is>
      </c>
      <c r="G23" s="34" t="inlineStr">
        <is>
          <t xml:space="preserve">Medio: COP 200 a 700 millones</t>
        </is>
      </c>
      <c r="H23" s="87" t="inlineStr">
        <is>
          <t xml:space="preserve">Sí, parcial: SGDEA en diseño (Informe de gestión 2025, pág. 77). Proyecto propuesto: P2.5</t>
        </is>
      </c>
    </row>
    <row r="24" spans="1:8" x14ac:dyDescent="0.25">
      <c r="A24" s="103" t="inlineStr">
        <is>
          <t xml:space="preserve">B017</t>
        </is>
      </c>
      <c r="B24" s="34" t="inlineStr">
        <is>
          <t xml:space="preserve">PE04, PE05</t>
        </is>
      </c>
      <c r="C24" s="34" t="inlineStr">
        <is>
          <t xml:space="preserve">BRE-017: Estrategia de uso y apropiación (dominio: Uso y apropiación)</t>
        </is>
      </c>
      <c r="D24" s="34" t="inlineStr">
        <is>
          <t xml:space="preserve">Crear</t>
        </is>
      </c>
      <c r="E24" s="34" t="inlineStr">
        <is>
          <t xml:space="preserve">U1: solo acciones sueltas; capacitación sin dato. Situación objetivo: Programa con formación y gestión del cambio (7.5)</t>
        </is>
      </c>
      <c r="F24" s="34" t="inlineStr">
        <is>
          <t xml:space="preserve">36 meses</t>
        </is>
      </c>
      <c r="G24" s="34" t="inlineStr">
        <is>
          <t xml:space="preserve">Bajo: menos de COP 200 millones</t>
        </is>
      </c>
      <c r="H24" s="87" t="inlineStr">
        <is>
          <t xml:space="preserve">No. Proyecto propuesto: P2.6</t>
        </is>
      </c>
    </row>
    <row r="25" spans="1:8" x14ac:dyDescent="0.25">
      <c r="A25" s="103" t="inlineStr">
        <is>
          <t xml:space="preserve">B018</t>
        </is>
      </c>
      <c r="B25" s="34" t="inlineStr">
        <is>
          <t xml:space="preserve">PM03, PA01</t>
        </is>
      </c>
      <c r="C25" s="34" t="inlineStr">
        <is>
          <t xml:space="preserve">BRE-018: Gestión de procesos (BPMS) en servicio y contratación (dominio: Sistemas de información)</t>
        </is>
      </c>
      <c r="D25" s="34" t="inlineStr">
        <is>
          <t xml:space="preserve">Crear</t>
        </is>
      </c>
      <c r="E25" s="34" t="inlineStr">
        <is>
          <t xml:space="preserve">S1: el proceso de servicio trabaja en Excel. Situación objetivo: Flujos automatizados (7.4.1)</t>
        </is>
      </c>
      <c r="F25" s="34" t="inlineStr">
        <is>
          <t xml:space="preserve">18 meses</t>
        </is>
      </c>
      <c r="G25" s="34" t="inlineStr">
        <is>
          <t xml:space="preserve">Alto: más de COP 700 millones</t>
        </is>
      </c>
      <c r="H25" s="87" t="inlineStr">
        <is>
          <t xml:space="preserve">No. Proyecto propuesto: P3.1</t>
        </is>
      </c>
    </row>
    <row r="26" spans="1:8" x14ac:dyDescent="0.25">
      <c r="A26" s="103" t="inlineStr">
        <is>
          <t xml:space="preserve">B019</t>
        </is>
      </c>
      <c r="B26" s="34" t="inlineStr">
        <is>
          <t xml:space="preserve">PM01 (Gestión de TI)</t>
        </is>
      </c>
      <c r="C26" s="34" t="inlineStr">
        <is>
          <t xml:space="preserve">BRE-019: Capa de integración y arquitectura de referencia (dominio: Sistemas de información)</t>
        </is>
      </c>
      <c r="D26" s="34" t="inlineStr">
        <is>
          <t xml:space="preserve">Crear</t>
        </is>
      </c>
      <c r="E26" s="34" t="inlineStr">
        <is>
          <t xml:space="preserve">S3, S4, I4: sin integraciones ni arquitectura adoptada. Situación objetivo: API documentadas y principios de arquitectura (7.4.2, 7.4.3)</t>
        </is>
      </c>
      <c r="F26" s="34" t="inlineStr">
        <is>
          <t xml:space="preserve">18 meses</t>
        </is>
      </c>
      <c r="G26" s="34" t="inlineStr">
        <is>
          <t xml:space="preserve">Medio: COP 200 a 700 millones</t>
        </is>
      </c>
      <c r="H26" s="87" t="inlineStr">
        <is>
          <t xml:space="preserve">No. Proyecto propuesto: P3.1</t>
        </is>
      </c>
    </row>
    <row r="27" spans="1:8" x14ac:dyDescent="0.25">
      <c r="A27" s="103" t="inlineStr">
        <is>
          <t xml:space="preserve">B020</t>
        </is>
      </c>
      <c r="B27" s="34" t="inlineStr">
        <is>
          <t xml:space="preserve">PE02</t>
        </is>
      </c>
      <c r="C27" s="34" t="inlineStr">
        <is>
          <t xml:space="preserve">BRE-020: Herramienta de gestión de riesgos (dominio: Gobierno de TI)</t>
        </is>
      </c>
      <c r="D27" s="34" t="inlineStr">
        <is>
          <t xml:space="preserve">Crear</t>
        </is>
      </c>
      <c r="E27" s="34" t="inlineStr">
        <is>
          <t xml:space="preserve">G2: la matriz de riesgos se lleva sin herramienta. Situación objetivo: Riesgos institucionales y de TI en una herramienta (7.2)</t>
        </is>
      </c>
      <c r="F27" s="34" t="inlineStr">
        <is>
          <t xml:space="preserve">12 meses</t>
        </is>
      </c>
      <c r="G27" s="34" t="inlineStr">
        <is>
          <t xml:space="preserve">Bajo: menos de COP 200 millones</t>
        </is>
      </c>
      <c r="H27" s="87" t="inlineStr">
        <is>
          <t xml:space="preserve">No. Proyecto propuesto: P3.1</t>
        </is>
      </c>
    </row>
    <row r="28" spans="1:8" x14ac:dyDescent="0.25">
      <c r="A28" s="103" t="inlineStr">
        <is>
          <t xml:space="preserve">B021</t>
        </is>
      </c>
      <c r="B28" s="34" t="inlineStr">
        <is>
          <t xml:space="preserve">PE01</t>
        </is>
      </c>
      <c r="C28" s="34" t="inlineStr">
        <is>
          <t xml:space="preserve">BRE-021: Analítica institucional integrada (dominio: Gestión de información)</t>
        </is>
      </c>
      <c r="D28" s="34" t="inlineStr">
        <is>
          <t xml:space="preserve">Modificar</t>
        </is>
      </c>
      <c r="E28" s="34" t="inlineStr">
        <is>
          <t xml:space="preserve">I5: tableros con consolidación manual. Situación objetivo: Tablero del PEI con datos integrados (7.3.4)</t>
        </is>
      </c>
      <c r="F28" s="34" t="inlineStr">
        <is>
          <t xml:space="preserve">12 meses</t>
        </is>
      </c>
      <c r="G28" s="34" t="inlineStr">
        <is>
          <t xml:space="preserve">Medio: COP 200 a 700 millones</t>
        </is>
      </c>
      <c r="H28" s="87" t="inlineStr">
        <is>
          <t xml:space="preserve">No. Proyecto propuesto: P3.2</t>
        </is>
      </c>
    </row>
    <row r="29" spans="1:8" x14ac:dyDescent="0.25">
      <c r="A29" s="103" t="inlineStr">
        <is>
          <t xml:space="preserve">B022</t>
        </is>
      </c>
      <c r="B29" s="34" t="inlineStr">
        <is>
          <t xml:space="preserve">PM01 (Gestión de TI)</t>
        </is>
      </c>
      <c r="C29" s="34" t="inlineStr">
        <is>
          <t xml:space="preserve">BRE-022: Plan de capacidad y monitoreo de red (dominio: Infraestructura de TI)</t>
        </is>
      </c>
      <c r="D29" s="34" t="inlineStr">
        <is>
          <t xml:space="preserve">Crear</t>
        </is>
      </c>
      <c r="E29" s="34" t="inlineStr">
        <is>
          <t xml:space="preserve">T2, numeral 6.5.3: sin plan de capacidad ni NOC. Situación objetivo: Plan anual de capacidad y NOC (7.5.1, 7.5.2)</t>
        </is>
      </c>
      <c r="F29" s="34" t="inlineStr">
        <is>
          <t xml:space="preserve">12 meses</t>
        </is>
      </c>
      <c r="G29" s="34" t="inlineStr">
        <is>
          <t xml:space="preserve">Medio: COP 200 a 700 millones</t>
        </is>
      </c>
      <c r="H29" s="87" t="inlineStr">
        <is>
          <t xml:space="preserve">No. Proyecto propuesto: P3.3</t>
        </is>
      </c>
    </row>
    <row r="30" spans="1:8" x14ac:dyDescent="0.25">
      <c r="A30" s="103" t="inlineStr">
        <is>
          <t xml:space="preserve">B023</t>
        </is>
      </c>
      <c r="B30" s="34" t="inlineStr">
        <is>
          <t xml:space="preserve">PM01 (Gestión de TI)</t>
        </is>
      </c>
      <c r="C30" s="34" t="inlineStr">
        <is>
          <t xml:space="preserve">BRE-023: Protocolo IPv6 en la red propia (dominio: Infraestructura de TI)</t>
        </is>
      </c>
      <c r="D30" s="34" t="inlineStr">
        <is>
          <t xml:space="preserve">Modificar</t>
        </is>
      </c>
      <c r="E30" s="34" t="inlineStr">
        <is>
          <t xml:space="preserve">T3: sin evidencia de IPv6 en la red propia; el plazo de la Resolución 1126 de 2021 venció el 31 de diciembre de 2022. Situación objetivo: Red propia en IPv6, en convivencia con IPv4 (7.5.1)</t>
        </is>
      </c>
      <c r="F30" s="34" t="inlineStr">
        <is>
          <t xml:space="preserve">18 meses</t>
        </is>
      </c>
      <c r="G30" s="34" t="inlineStr">
        <is>
          <t xml:space="preserve">Bajo: menos de COP 200 millones</t>
        </is>
      </c>
      <c r="H30" s="87" t="inlineStr">
        <is>
          <t xml:space="preserve">No. Proyecto propuesto: P1.6, P2.4</t>
        </is>
      </c>
    </row>
    <row r="31" spans="1:8" ht="39" customHeight="1" x14ac:dyDescent="0.25">
      <c r="A31" s="103" t="s">
        <v>138</v>
      </c>
      <c r="B31" s="34"/>
      <c r="C31" s="34"/>
      <c r="D31" s="34"/>
      <c r="E31" s="34"/>
      <c r="F31" s="34"/>
      <c r="G31" s="34"/>
      <c r="H31" s="87"/>
    </row>
    <row r="32" spans="1:8" ht="39" customHeight="1" x14ac:dyDescent="0.25">
      <c r="A32" s="103" t="s">
        <v>139</v>
      </c>
      <c r="B32" s="34"/>
      <c r="C32" s="34"/>
      <c r="D32" s="34"/>
      <c r="E32" s="34"/>
      <c r="F32" s="34"/>
      <c r="G32" s="34"/>
      <c r="H32" s="87"/>
    </row>
    <row r="33" spans="1:8" ht="39" customHeight="1" x14ac:dyDescent="0.25">
      <c r="A33" s="103" t="s">
        <v>140</v>
      </c>
      <c r="B33" s="34"/>
      <c r="C33" s="34"/>
      <c r="D33" s="34"/>
      <c r="E33" s="34"/>
      <c r="F33" s="34"/>
      <c r="G33" s="34"/>
      <c r="H33" s="87"/>
    </row>
    <row r="34" spans="1:8" ht="39" customHeight="1" x14ac:dyDescent="0.25">
      <c r="A34" s="103" t="s">
        <v>141</v>
      </c>
      <c r="B34" s="34"/>
      <c r="C34" s="34"/>
      <c r="D34" s="34"/>
      <c r="E34" s="34"/>
      <c r="F34" s="34"/>
      <c r="G34" s="34"/>
      <c r="H34" s="87"/>
    </row>
    <row r="35" spans="1:8" ht="39" customHeight="1" x14ac:dyDescent="0.25">
      <c r="A35" s="103" t="s">
        <v>142</v>
      </c>
      <c r="B35" s="34"/>
      <c r="C35" s="34"/>
      <c r="D35" s="34"/>
      <c r="E35" s="34"/>
      <c r="F35" s="34"/>
      <c r="G35" s="34"/>
      <c r="H35" s="87"/>
    </row>
    <row r="36" spans="1:8" ht="39" customHeight="1" x14ac:dyDescent="0.25">
      <c r="A36" s="103" t="s">
        <v>143</v>
      </c>
      <c r="B36" s="34"/>
      <c r="C36" s="34"/>
      <c r="D36" s="34"/>
      <c r="E36" s="34"/>
      <c r="F36" s="34"/>
      <c r="G36" s="34"/>
      <c r="H36" s="87"/>
    </row>
    <row r="37" spans="1:8" ht="39" customHeight="1" x14ac:dyDescent="0.25">
      <c r="A37" s="103" t="s">
        <v>144</v>
      </c>
      <c r="B37" s="34"/>
      <c r="C37" s="34"/>
      <c r="D37" s="34"/>
      <c r="E37" s="34"/>
      <c r="F37" s="34"/>
      <c r="G37" s="34"/>
      <c r="H37" s="87"/>
    </row>
    <row r="38" spans="1:8" ht="39" customHeight="1" x14ac:dyDescent="0.25">
      <c r="A38" s="103" t="s">
        <v>145</v>
      </c>
      <c r="B38" s="34"/>
      <c r="C38" s="34"/>
      <c r="D38" s="34"/>
      <c r="E38" s="34"/>
      <c r="F38" s="34"/>
      <c r="G38" s="34"/>
      <c r="H38" s="87"/>
    </row>
    <row r="39" spans="1:8" ht="39" customHeight="1" x14ac:dyDescent="0.25">
      <c r="A39" s="103" t="s">
        <v>146</v>
      </c>
      <c r="B39" s="34"/>
      <c r="C39" s="34"/>
      <c r="D39" s="34"/>
      <c r="E39" s="34"/>
      <c r="F39" s="34"/>
      <c r="G39" s="34"/>
      <c r="H39" s="87"/>
    </row>
    <row r="40" spans="1:8" ht="39" customHeight="1" x14ac:dyDescent="0.25">
      <c r="A40" s="103" t="s">
        <v>147</v>
      </c>
      <c r="B40" s="34"/>
      <c r="C40" s="34"/>
      <c r="D40" s="34"/>
      <c r="E40" s="34"/>
      <c r="F40" s="34"/>
      <c r="G40" s="34"/>
      <c r="H40" s="87"/>
    </row>
    <row r="41" spans="1:8" ht="39" customHeight="1" x14ac:dyDescent="0.25">
      <c r="A41" s="103" t="s">
        <v>148</v>
      </c>
      <c r="B41" s="34"/>
      <c r="C41" s="34"/>
      <c r="D41" s="34"/>
      <c r="E41" s="34"/>
      <c r="F41" s="34"/>
      <c r="G41" s="34"/>
      <c r="H41" s="87"/>
    </row>
    <row r="42" spans="1:8" ht="39" customHeight="1" x14ac:dyDescent="0.25">
      <c r="A42" s="103" t="s">
        <v>149</v>
      </c>
      <c r="B42" s="34"/>
      <c r="C42" s="34"/>
      <c r="D42" s="34"/>
      <c r="E42" s="34"/>
      <c r="F42" s="34"/>
      <c r="G42" s="34"/>
      <c r="H42" s="87"/>
    </row>
    <row r="43" spans="1:8" ht="39" customHeight="1" x14ac:dyDescent="0.25">
      <c r="A43" s="103" t="s">
        <v>150</v>
      </c>
      <c r="B43" s="34"/>
      <c r="C43" s="34"/>
      <c r="D43" s="34"/>
      <c r="E43" s="34"/>
      <c r="F43" s="34"/>
      <c r="G43" s="34"/>
      <c r="H43" s="87"/>
    </row>
    <row r="44" spans="1:8" ht="39" customHeight="1" x14ac:dyDescent="0.25">
      <c r="A44" s="103" t="s">
        <v>151</v>
      </c>
      <c r="B44" s="34"/>
      <c r="C44" s="34"/>
      <c r="D44" s="34"/>
      <c r="E44" s="34"/>
      <c r="F44" s="34"/>
      <c r="G44" s="34"/>
      <c r="H44" s="87"/>
    </row>
    <row r="45" spans="1:8" ht="39" customHeight="1" x14ac:dyDescent="0.25">
      <c r="A45" s="103" t="s">
        <v>152</v>
      </c>
      <c r="B45" s="34"/>
      <c r="C45" s="34"/>
      <c r="D45" s="34"/>
      <c r="E45" s="34"/>
      <c r="F45" s="34"/>
      <c r="G45" s="34"/>
      <c r="H45" s="87"/>
    </row>
    <row r="46" spans="1:8" ht="39" customHeight="1" x14ac:dyDescent="0.25">
      <c r="A46" s="103" t="s">
        <v>153</v>
      </c>
      <c r="B46" s="34"/>
      <c r="C46" s="34"/>
      <c r="D46" s="34"/>
      <c r="E46" s="34"/>
      <c r="F46" s="34"/>
      <c r="G46" s="34"/>
      <c r="H46" s="87"/>
    </row>
    <row r="47" spans="1:8" ht="39" customHeight="1" thickBot="1" x14ac:dyDescent="0.3">
      <c r="A47" s="104" t="s">
        <v>154</v>
      </c>
      <c r="B47" s="89"/>
      <c r="C47" s="89"/>
      <c r="D47" s="89"/>
      <c r="E47" s="89"/>
      <c r="F47" s="89"/>
      <c r="G47" s="89"/>
      <c r="H47" s="90"/>
    </row>
  </sheetData>
  <mergeCells count="1">
    <mergeCell ref="A6:H6"/>
  </mergeCells>
  <phoneticPr fontId="14" type="noConversion"/>
  <pageMargins left="0.70866141732283472" right="0.70866141732283472" top="0.74803149606299213" bottom="0.74803149606299213" header="0.31496062992125984" footer="0.31496062992125984"/>
  <pageSetup scale="73" fitToHeight="0" orientation="landscape" r:id="rId1"/>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CDEB0-B9FD-4674-A887-7B9114C44DA4}">
  <sheetPr>
    <pageSetUpPr fitToPage="1"/>
  </sheetPr>
  <dimension ref="A5:L27"/>
  <sheetViews>
    <sheetView showGridLines="0" topLeftCell="A4" workbookViewId="0">
      <selection activeCell="C10" sqref="C10"/>
    </sheetView>
  </sheetViews>
  <sheetFormatPr baseColWidth="10" defaultColWidth="11.42578125" defaultRowHeight="15" x14ac:dyDescent="0.25"/>
  <cols>
    <col min="4" max="4" width="17.28515625" customWidth="1"/>
    <col min="5" max="5" width="14.85546875" customWidth="1"/>
    <col min="7" max="7" width="13.5703125" customWidth="1"/>
    <col min="8" max="8" width="14.7109375" customWidth="1"/>
  </cols>
  <sheetData>
    <row r="5" spans="1:12" ht="15.75" thickBot="1" x14ac:dyDescent="0.3"/>
    <row r="6" spans="1:12" ht="19.149999999999999" customHeight="1" x14ac:dyDescent="0.25">
      <c r="A6" s="208" t="s">
        <v>421</v>
      </c>
      <c r="B6" s="209"/>
      <c r="C6" s="209"/>
      <c r="D6" s="209"/>
      <c r="E6" s="209"/>
      <c r="F6" s="209"/>
      <c r="G6" s="209"/>
      <c r="H6" s="209"/>
      <c r="I6" s="209"/>
      <c r="J6" s="209"/>
      <c r="K6" s="209"/>
      <c r="L6" s="210"/>
    </row>
    <row r="7" spans="1:12" ht="63" x14ac:dyDescent="0.25">
      <c r="A7" s="41" t="s">
        <v>20</v>
      </c>
      <c r="B7" s="30" t="s">
        <v>155</v>
      </c>
      <c r="C7" s="30" t="s">
        <v>181</v>
      </c>
      <c r="D7" s="30" t="s">
        <v>182</v>
      </c>
      <c r="E7" s="30" t="s">
        <v>65</v>
      </c>
      <c r="F7" s="30" t="s">
        <v>156</v>
      </c>
      <c r="G7" s="30" t="s">
        <v>157</v>
      </c>
      <c r="H7" s="30" t="s">
        <v>158</v>
      </c>
      <c r="I7" s="30" t="s">
        <v>159</v>
      </c>
      <c r="J7" s="30" t="s">
        <v>160</v>
      </c>
      <c r="K7" s="30" t="s">
        <v>113</v>
      </c>
      <c r="L7" s="43" t="s">
        <v>183</v>
      </c>
    </row>
    <row r="8" spans="1:12" x14ac:dyDescent="0.25">
      <c r="A8" s="103" t="inlineStr">
        <is>
          <t xml:space="preserve">IPGD001</t>
        </is>
      </c>
      <c r="B8" s="34" t="inlineStr">
        <is>
          <t xml:space="preserve">Operación del MSPI y gestión de incidentes</t>
        </is>
      </c>
      <c r="C8" s="34" t="inlineStr">
        <is>
          <t xml:space="preserve">Plan de Seguridad y Privacidad de la Información (Decreto 612 de 2018; Resolución 500 de 2021)</t>
        </is>
      </c>
      <c r="D8" s="34" t="inlineStr">
        <is>
          <t xml:space="preserve">ST07, SC02</t>
        </is>
      </c>
      <c r="E8" s="34" t="inlineStr">
        <is>
          <t xml:space="preserve">Procedimiento de incidentes, SOC propio y autoevaluación anual del MSPI</t>
        </is>
      </c>
      <c r="F8" s="34" t="inlineStr">
        <is>
          <t xml:space="preserve">Responsable de seguridad de la información</t>
        </is>
      </c>
      <c r="G8" s="34" t="inlineStr">
        <is>
          <t xml:space="preserve">METI10</t>
        </is>
      </c>
      <c r="H8" s="34" t="inlineStr">
        <is>
          <t xml:space="preserve">Infraestructura, Planeación, Control Interno</t>
        </is>
      </c>
      <c r="I8" s="34" t="inlineStr">
        <is>
          <t xml:space="preserve">12 meses</t>
        </is>
      </c>
      <c r="J8" s="34" t="inlineStr">
        <is>
          <t xml:space="preserve">Enero de 2027</t>
        </is>
      </c>
      <c r="K8" s="34" t="inlineStr">
        <is>
          <t xml:space="preserve">Incluido en P1.4</t>
        </is>
      </c>
      <c r="L8" s="87" t="inlineStr">
        <is>
          <t xml:space="preserve">B009</t>
        </is>
      </c>
    </row>
    <row r="9" spans="1:12" x14ac:dyDescent="0.25">
      <c r="A9" s="108" t="inlineStr">
        <is>
          <t xml:space="preserve">IPGD002</t>
        </is>
      </c>
      <c r="B9" s="37" t="inlineStr">
        <is>
          <t xml:space="preserve">Tratamiento de riesgos de seguridad y continuidad</t>
        </is>
      </c>
      <c r="C9" s="37" t="inlineStr">
        <is>
          <t xml:space="preserve">Plan de Tratamiento de Riesgos de Seguridad y Privacidad de la Información (Decreto 612 de 2018)</t>
        </is>
      </c>
      <c r="D9" s="37" t="inlineStr">
        <is>
          <t xml:space="preserve">ST07</t>
        </is>
      </c>
      <c r="E9" s="37" t="inlineStr">
        <is>
          <t xml:space="preserve">Riesgos de seguridad en la matriz institucional; plan de recuperación probado</t>
        </is>
      </c>
      <c r="F9" s="37" t="inlineStr">
        <is>
          <t xml:space="preserve">Dirección de Infraestructura</t>
        </is>
      </c>
      <c r="G9" s="37" t="inlineStr">
        <is>
          <t xml:space="preserve">METI09, METI10</t>
        </is>
      </c>
      <c r="H9" s="37" t="inlineStr">
        <is>
          <t xml:space="preserve">Gestión del Riesgo y Continuidad</t>
        </is>
      </c>
      <c r="I9" s="37" t="inlineStr">
        <is>
          <t xml:space="preserve">12 meses</t>
        </is>
      </c>
      <c r="J9" s="37" t="inlineStr">
        <is>
          <t xml:space="preserve">Enero de 2027</t>
        </is>
      </c>
      <c r="K9" s="37" t="inlineStr">
        <is>
          <t xml:space="preserve">Incluido en P1.4 y P1.6</t>
        </is>
      </c>
      <c r="L9" s="105" t="inlineStr">
        <is>
          <t xml:space="preserve">B009, B011</t>
        </is>
      </c>
    </row>
    <row r="10" spans="1:12" x14ac:dyDescent="0.25">
      <c r="A10" s="103" t="inlineStr">
        <is>
          <t xml:space="preserve">IPGD003</t>
        </is>
      </c>
      <c r="B10" s="34" t="inlineStr">
        <is>
          <t xml:space="preserve">SGDEA y preservación digital</t>
        </is>
      </c>
      <c r="C10" s="34" t="inlineStr">
        <is>
          <t xml:space="preserve">Plan Institucional de Archivos (PINAR, aprobado hasta 2027; Informe de gestión 2025, pág. 76)</t>
        </is>
      </c>
      <c r="D10" s="34" t="inlineStr">
        <is>
          <t xml:space="preserve">ST05</t>
        </is>
      </c>
      <c r="E10" s="34" t="inlineStr">
        <is>
          <t xml:space="preserve">Sistema de gestión de documentos electrónicos con requisitos MoReq y plan de preservación digital</t>
        </is>
      </c>
      <c r="F10" s="34" t="inlineStr">
        <is>
          <t xml:space="preserve">Gestión Documental y Gerencia de TI</t>
        </is>
      </c>
      <c r="G10" s="34" t="inlineStr">
        <is>
          <t xml:space="preserve">METI06</t>
        </is>
      </c>
      <c r="H10" s="34" t="inlineStr">
        <is>
          <t xml:space="preserve">Administrativa, Secretaría General</t>
        </is>
      </c>
      <c r="I10" s="34" t="inlineStr">
        <is>
          <t xml:space="preserve">21 meses</t>
        </is>
      </c>
      <c r="J10" s="34" t="inlineStr">
        <is>
          <t xml:space="preserve">Abril de 2028</t>
        </is>
      </c>
      <c r="K10" s="34" t="inlineStr">
        <is>
          <t xml:space="preserve">Incluido en P2.5</t>
        </is>
      </c>
      <c r="L10" s="87" t="inlineStr">
        <is>
          <t xml:space="preserve">B016</t>
        </is>
      </c>
    </row>
    <row r="11" spans="1:12" x14ac:dyDescent="0.25">
      <c r="A11" s="108" t="inlineStr">
        <is>
          <t xml:space="preserve">IPGD004</t>
        </is>
      </c>
      <c r="B11" s="37" t="inlineStr">
        <is>
          <t xml:space="preserve">Formación en uso de TI y seguridad</t>
        </is>
      </c>
      <c r="C11" s="37" t="inlineStr">
        <is>
          <t xml:space="preserve">Plan Institucional de Capacitación (Decreto 612 de 2018)</t>
        </is>
      </c>
      <c r="D11" s="37" t="inlineStr">
        <is>
          <t xml:space="preserve">ST01, ST02</t>
        </is>
      </c>
      <c r="E11" s="37" t="inlineStr">
        <is>
          <t xml:space="preserve">Formación en los sistemas nuevos y formación anual en seguridad</t>
        </is>
      </c>
      <c r="F11" s="37" t="inlineStr">
        <is>
          <t xml:space="preserve">Responsable de uso y apropiación</t>
        </is>
      </c>
      <c r="G11" s="37" t="inlineStr">
        <is>
          <t xml:space="preserve">METI11</t>
        </is>
      </c>
      <c r="H11" s="37" t="inlineStr">
        <is>
          <t xml:space="preserve">Capital Humano</t>
        </is>
      </c>
      <c r="I11" s="37" t="inlineStr">
        <is>
          <t xml:space="preserve">36 meses</t>
        </is>
      </c>
      <c r="J11" s="37" t="inlineStr">
        <is>
          <t xml:space="preserve">Enero de 2028</t>
        </is>
      </c>
      <c r="K11" s="37" t="inlineStr">
        <is>
          <t xml:space="preserve">Incluido en P2.6</t>
        </is>
      </c>
      <c r="L11" s="105" t="inlineStr">
        <is>
          <t xml:space="preserve">B017</t>
        </is>
      </c>
    </row>
    <row r="12" spans="1:12" x14ac:dyDescent="0.25">
      <c r="A12" s="103" t="inlineStr">
        <is>
          <t xml:space="preserve">IPGD005</t>
        </is>
      </c>
      <c r="B12" s="34" t="inlineStr">
        <is>
          <t xml:space="preserve">Publicación de información y datos abiertos</t>
        </is>
      </c>
      <c r="C12" s="34" t="inlineStr">
        <is>
          <t xml:space="preserve">Programa de Transparencia y Ética Pública (Ley 2195 de 2022; antes Plan Anticorrupción)</t>
        </is>
      </c>
      <c r="D12" s="34" t="inlineStr">
        <is>
          <t xml:space="preserve">ST05</t>
        </is>
      </c>
      <c r="E12" s="34" t="inlineStr">
        <is>
          <t xml:space="preserve">Información del sitio web al día, conjuntos de datos abiertos y registro de activos de información</t>
        </is>
      </c>
      <c r="F12" s="34" t="inlineStr">
        <is>
          <t xml:space="preserve">Responsable de gobierno de datos</t>
        </is>
      </c>
      <c r="G12" s="34" t="inlineStr">
        <is>
          <t xml:space="preserve">METI07</t>
        </is>
      </c>
      <c r="H12" s="34" t="inlineStr">
        <is>
          <t xml:space="preserve">Comunicaciones, Planeación</t>
        </is>
      </c>
      <c r="I12" s="34" t="inlineStr">
        <is>
          <t xml:space="preserve">12 meses</t>
        </is>
      </c>
      <c r="J12" s="34" t="inlineStr">
        <is>
          <t xml:space="preserve">Enero de 2028</t>
        </is>
      </c>
      <c r="K12" s="34" t="inlineStr">
        <is>
          <t xml:space="preserve">Incluido en P2.1</t>
        </is>
      </c>
      <c r="L12" s="87" t="inlineStr">
        <is>
          <t xml:space="preserve">B012</t>
        </is>
      </c>
    </row>
    <row r="13" spans="1:12" x14ac:dyDescent="0.25">
      <c r="A13" s="108" t="inlineStr">
        <is>
          <t xml:space="preserve">IPGD006</t>
        </is>
      </c>
      <c r="B13" s="37" t="inlineStr">
        <is>
          <t xml:space="preserve">Habilitadores de la Política de Gobierno Digital</t>
        </is>
      </c>
      <c r="C13" s="37" t="inlineStr">
        <is>
          <t xml:space="preserve">Política de Gobierno Digital (Decreto 767 de 2022)</t>
        </is>
      </c>
      <c r="D13" s="37" t="inlineStr">
        <is>
          <t xml:space="preserve">Todos</t>
        </is>
      </c>
      <c r="E13" s="37" t="inlineStr">
        <is>
          <t xml:space="preserve">Arquitectura de TI (este PETI), seguridad y privacidad (IPGD001) y datos (IPGD005). Los servicios ciudadanos digitales no aplican, porque Valor+ no tiene trámites (numeral 5.1.7)</t>
        </is>
      </c>
      <c r="F13" s="37" t="inlineStr">
        <is>
          <t xml:space="preserve">Gerencia de TI</t>
        </is>
      </c>
      <c r="G13" s="37" t="inlineStr">
        <is>
          <t xml:space="preserve">METI03</t>
        </is>
      </c>
      <c r="H13" s="37" t="inlineStr">
        <is>
          <t xml:space="preserve">Planeación y Proyectos</t>
        </is>
      </c>
      <c r="I13" s="37" t="inlineStr">
        <is>
          <t xml:space="preserve">48 meses</t>
        </is>
      </c>
      <c r="J13" s="37" t="inlineStr">
        <is>
          <t xml:space="preserve">Enero de 2027</t>
        </is>
      </c>
      <c r="K13" s="37" t="inlineStr">
        <is>
          <t xml:space="preserve">Incluido en P1.1, P1.4 y P2.1</t>
        </is>
      </c>
      <c r="L13" s="105" t="inlineStr">
        <is>
          <t xml:space="preserve">B006, B009, B012</t>
        </is>
      </c>
    </row>
    <row r="14" spans="1:12" ht="20.25" x14ac:dyDescent="0.25">
      <c r="A14" s="103" t="s">
        <v>190</v>
      </c>
      <c r="B14" s="34"/>
      <c r="C14" s="34"/>
      <c r="D14" s="34"/>
      <c r="E14" s="34"/>
      <c r="F14" s="34"/>
      <c r="G14" s="34"/>
      <c r="H14" s="34"/>
      <c r="I14" s="34"/>
      <c r="J14" s="34"/>
      <c r="K14" s="34"/>
      <c r="L14" s="87"/>
    </row>
    <row r="15" spans="1:12" ht="20.25" x14ac:dyDescent="0.25">
      <c r="A15" s="108" t="s">
        <v>191</v>
      </c>
      <c r="B15" s="37"/>
      <c r="C15" s="37"/>
      <c r="D15" s="37"/>
      <c r="E15" s="37"/>
      <c r="F15" s="37"/>
      <c r="G15" s="37"/>
      <c r="H15" s="37"/>
      <c r="I15" s="37"/>
      <c r="J15" s="37"/>
      <c r="K15" s="37"/>
      <c r="L15" s="105"/>
    </row>
    <row r="16" spans="1:12" ht="20.25" x14ac:dyDescent="0.25">
      <c r="A16" s="103" t="s">
        <v>192</v>
      </c>
      <c r="B16" s="34"/>
      <c r="C16" s="34"/>
      <c r="D16" s="34"/>
      <c r="E16" s="34"/>
      <c r="F16" s="34"/>
      <c r="G16" s="34"/>
      <c r="H16" s="34"/>
      <c r="I16" s="34"/>
      <c r="J16" s="34"/>
      <c r="K16" s="34"/>
      <c r="L16" s="87"/>
    </row>
    <row r="17" spans="1:12" ht="20.25" x14ac:dyDescent="0.25">
      <c r="A17" s="108" t="s">
        <v>193</v>
      </c>
      <c r="B17" s="37"/>
      <c r="C17" s="37"/>
      <c r="D17" s="37"/>
      <c r="E17" s="37"/>
      <c r="F17" s="37"/>
      <c r="G17" s="37"/>
      <c r="H17" s="37"/>
      <c r="I17" s="37"/>
      <c r="J17" s="37"/>
      <c r="K17" s="37"/>
      <c r="L17" s="105"/>
    </row>
    <row r="18" spans="1:12" ht="20.25" x14ac:dyDescent="0.25">
      <c r="A18" s="103" t="s">
        <v>194</v>
      </c>
      <c r="B18" s="34"/>
      <c r="C18" s="34"/>
      <c r="D18" s="34"/>
      <c r="E18" s="34"/>
      <c r="F18" s="34"/>
      <c r="G18" s="34"/>
      <c r="H18" s="34"/>
      <c r="I18" s="34"/>
      <c r="J18" s="34"/>
      <c r="K18" s="34"/>
      <c r="L18" s="87"/>
    </row>
    <row r="19" spans="1:12" ht="15.75" x14ac:dyDescent="0.25">
      <c r="A19" s="108" t="s">
        <v>195</v>
      </c>
      <c r="B19" s="37"/>
      <c r="C19" s="37"/>
      <c r="D19" s="37"/>
      <c r="E19" s="37"/>
      <c r="F19" s="37"/>
      <c r="G19" s="37"/>
      <c r="H19" s="37"/>
      <c r="I19" s="37"/>
      <c r="J19" s="37"/>
      <c r="K19" s="37"/>
      <c r="L19" s="105"/>
    </row>
    <row r="20" spans="1:12" ht="15.75" x14ac:dyDescent="0.25">
      <c r="A20" s="103" t="s">
        <v>196</v>
      </c>
      <c r="B20" s="34"/>
      <c r="C20" s="34"/>
      <c r="D20" s="34"/>
      <c r="E20" s="34"/>
      <c r="F20" s="34"/>
      <c r="G20" s="34"/>
      <c r="H20" s="34"/>
      <c r="I20" s="34"/>
      <c r="J20" s="34"/>
      <c r="K20" s="34"/>
      <c r="L20" s="87"/>
    </row>
    <row r="21" spans="1:12" ht="15.75" x14ac:dyDescent="0.25">
      <c r="A21" s="108" t="s">
        <v>197</v>
      </c>
      <c r="B21" s="37"/>
      <c r="C21" s="37"/>
      <c r="D21" s="37"/>
      <c r="E21" s="37"/>
      <c r="F21" s="37"/>
      <c r="G21" s="37"/>
      <c r="H21" s="37"/>
      <c r="I21" s="37"/>
      <c r="J21" s="37"/>
      <c r="K21" s="37"/>
      <c r="L21" s="105"/>
    </row>
    <row r="22" spans="1:12" ht="15.75" x14ac:dyDescent="0.25">
      <c r="A22" s="103" t="s">
        <v>198</v>
      </c>
      <c r="B22" s="34"/>
      <c r="C22" s="34"/>
      <c r="D22" s="34"/>
      <c r="E22" s="34"/>
      <c r="F22" s="34"/>
      <c r="G22" s="34"/>
      <c r="H22" s="34"/>
      <c r="I22" s="34"/>
      <c r="J22" s="34"/>
      <c r="K22" s="34"/>
      <c r="L22" s="87"/>
    </row>
    <row r="23" spans="1:12" ht="15.75" x14ac:dyDescent="0.25">
      <c r="A23" s="108" t="s">
        <v>199</v>
      </c>
      <c r="B23" s="37"/>
      <c r="C23" s="37"/>
      <c r="D23" s="37"/>
      <c r="E23" s="37"/>
      <c r="F23" s="37"/>
      <c r="G23" s="37"/>
      <c r="H23" s="37"/>
      <c r="I23" s="37"/>
      <c r="J23" s="37"/>
      <c r="K23" s="37"/>
      <c r="L23" s="105"/>
    </row>
    <row r="24" spans="1:12" ht="15.75" x14ac:dyDescent="0.25">
      <c r="A24" s="103" t="s">
        <v>200</v>
      </c>
      <c r="B24" s="34"/>
      <c r="C24" s="34"/>
      <c r="D24" s="34"/>
      <c r="E24" s="34"/>
      <c r="F24" s="34"/>
      <c r="G24" s="34"/>
      <c r="H24" s="34"/>
      <c r="I24" s="34"/>
      <c r="J24" s="34"/>
      <c r="K24" s="34"/>
      <c r="L24" s="87"/>
    </row>
    <row r="25" spans="1:12" ht="15.75" x14ac:dyDescent="0.25">
      <c r="A25" s="108" t="s">
        <v>201</v>
      </c>
      <c r="B25" s="37"/>
      <c r="C25" s="37"/>
      <c r="D25" s="37"/>
      <c r="E25" s="37"/>
      <c r="F25" s="37"/>
      <c r="G25" s="37"/>
      <c r="H25" s="37"/>
      <c r="I25" s="37"/>
      <c r="J25" s="37"/>
      <c r="K25" s="37"/>
      <c r="L25" s="105"/>
    </row>
    <row r="26" spans="1:12" ht="15.75" x14ac:dyDescent="0.25">
      <c r="A26" s="103" t="s">
        <v>202</v>
      </c>
      <c r="B26" s="34"/>
      <c r="C26" s="34"/>
      <c r="D26" s="34"/>
      <c r="E26" s="34"/>
      <c r="F26" s="34"/>
      <c r="G26" s="34"/>
      <c r="H26" s="34"/>
      <c r="I26" s="34"/>
      <c r="J26" s="34"/>
      <c r="K26" s="34"/>
      <c r="L26" s="87"/>
    </row>
    <row r="27" spans="1:12" ht="16.5" thickBot="1" x14ac:dyDescent="0.3">
      <c r="A27" s="109" t="s">
        <v>203</v>
      </c>
      <c r="B27" s="106"/>
      <c r="C27" s="106"/>
      <c r="D27" s="106"/>
      <c r="E27" s="106"/>
      <c r="F27" s="106"/>
      <c r="G27" s="106"/>
      <c r="H27" s="106"/>
      <c r="I27" s="106"/>
      <c r="J27" s="106"/>
      <c r="K27" s="106"/>
      <c r="L27" s="107"/>
    </row>
  </sheetData>
  <mergeCells count="1">
    <mergeCell ref="A6:L6"/>
  </mergeCells>
  <phoneticPr fontId="14" type="noConversion"/>
  <pageMargins left="0.7" right="0.7" top="0.75" bottom="0.75" header="0.3" footer="0.3"/>
  <pageSetup scale="80" fitToHeight="0" orientation="landscape" verticalDpi="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C2CBE-E49E-4666-9ED1-E7655FD33FED}">
  <sheetPr>
    <pageSetUpPr fitToPage="1"/>
  </sheetPr>
  <dimension ref="A1:O26"/>
  <sheetViews>
    <sheetView showGridLines="0" workbookViewId="0">
      <selection activeCell="C7" sqref="C7"/>
    </sheetView>
  </sheetViews>
  <sheetFormatPr baseColWidth="10" defaultColWidth="11.42578125" defaultRowHeight="15" x14ac:dyDescent="0.25"/>
  <cols>
    <col min="1" max="1" width="6.85546875" customWidth="1"/>
    <col min="2" max="2" width="20" customWidth="1"/>
    <col min="3" max="3" width="20.5703125" customWidth="1"/>
    <col min="4" max="5" width="25.85546875" customWidth="1"/>
    <col min="6" max="8" width="23.5703125" customWidth="1"/>
    <col min="9" max="9" width="23.85546875" customWidth="1"/>
    <col min="10" max="10" width="14.28515625" customWidth="1"/>
    <col min="11" max="11" width="28.7109375" customWidth="1"/>
    <col min="12" max="12" width="13.85546875" customWidth="1"/>
    <col min="14" max="14" width="17" customWidth="1"/>
    <col min="15" max="15" width="18.7109375" customWidth="1"/>
  </cols>
  <sheetData>
    <row r="1" spans="1:15" x14ac:dyDescent="0.25">
      <c r="A1" s="113"/>
      <c r="B1" s="113"/>
      <c r="C1" s="113"/>
      <c r="D1" s="113"/>
      <c r="E1" s="113"/>
      <c r="F1" s="113"/>
      <c r="G1" s="113"/>
      <c r="H1" s="113"/>
      <c r="I1" s="113"/>
      <c r="J1" s="113"/>
      <c r="K1" s="113"/>
      <c r="L1" s="113"/>
      <c r="M1" s="113"/>
      <c r="N1" s="113"/>
      <c r="O1" s="113"/>
    </row>
    <row r="2" spans="1:15" x14ac:dyDescent="0.25">
      <c r="A2" s="113"/>
      <c r="B2" s="113"/>
      <c r="C2" s="113"/>
      <c r="D2" s="113"/>
      <c r="E2" s="113"/>
      <c r="F2" s="113"/>
      <c r="G2" s="113"/>
      <c r="H2" s="113"/>
      <c r="I2" s="113"/>
      <c r="J2" s="113"/>
      <c r="K2" s="113"/>
      <c r="L2" s="113"/>
      <c r="M2" s="113"/>
      <c r="N2" s="113"/>
      <c r="O2" s="113"/>
    </row>
    <row r="3" spans="1:15" x14ac:dyDescent="0.25">
      <c r="A3" s="113"/>
      <c r="B3" s="113"/>
      <c r="C3" s="113"/>
      <c r="D3" s="113"/>
      <c r="E3" s="113"/>
      <c r="F3" s="113"/>
      <c r="G3" s="113"/>
      <c r="H3" s="113"/>
      <c r="I3" s="113"/>
      <c r="J3" s="113"/>
      <c r="K3" s="113"/>
      <c r="L3" s="113"/>
      <c r="M3" s="113"/>
      <c r="N3" s="113"/>
      <c r="O3" s="113"/>
    </row>
    <row r="4" spans="1:15" ht="15.75" thickBot="1" x14ac:dyDescent="0.3">
      <c r="A4" s="113"/>
      <c r="B4" s="113"/>
      <c r="C4" s="113"/>
      <c r="D4" s="113"/>
      <c r="E4" s="113"/>
      <c r="F4" s="113"/>
      <c r="G4" s="113"/>
      <c r="H4" s="113"/>
      <c r="I4" s="113"/>
      <c r="J4" s="113"/>
      <c r="K4" s="113"/>
      <c r="L4" s="113"/>
      <c r="M4" s="113"/>
      <c r="N4" s="113"/>
      <c r="O4" s="113"/>
    </row>
    <row r="5" spans="1:15" ht="19.149999999999999" customHeight="1" x14ac:dyDescent="0.25">
      <c r="A5" s="208" t="s">
        <v>357</v>
      </c>
      <c r="B5" s="209"/>
      <c r="C5" s="209"/>
      <c r="D5" s="209"/>
      <c r="E5" s="209"/>
      <c r="F5" s="209"/>
      <c r="G5" s="209"/>
      <c r="H5" s="209"/>
      <c r="I5" s="209"/>
      <c r="J5" s="209"/>
      <c r="K5" s="209"/>
      <c r="L5" s="209"/>
      <c r="M5" s="209"/>
      <c r="N5" s="209"/>
      <c r="O5" s="210"/>
    </row>
    <row r="6" spans="1:15" s="12" customFormat="1" ht="51" customHeight="1" x14ac:dyDescent="0.2">
      <c r="A6" s="111" t="s">
        <v>20</v>
      </c>
      <c r="B6" s="110" t="s">
        <v>358</v>
      </c>
      <c r="C6" s="110" t="s">
        <v>359</v>
      </c>
      <c r="D6" s="110" t="s">
        <v>360</v>
      </c>
      <c r="E6" s="110" t="s">
        <v>361</v>
      </c>
      <c r="F6" s="110" t="s">
        <v>364</v>
      </c>
      <c r="G6" s="110" t="s">
        <v>366</v>
      </c>
      <c r="H6" s="110" t="s">
        <v>367</v>
      </c>
      <c r="I6" s="110" t="s">
        <v>365</v>
      </c>
      <c r="J6" s="110" t="s">
        <v>158</v>
      </c>
      <c r="K6" s="110" t="s">
        <v>362</v>
      </c>
      <c r="L6" s="110" t="s">
        <v>369</v>
      </c>
      <c r="M6" s="110" t="s">
        <v>160</v>
      </c>
      <c r="N6" s="110" t="s">
        <v>363</v>
      </c>
      <c r="O6" s="112" t="s">
        <v>368</v>
      </c>
    </row>
    <row r="7" spans="1:15" x14ac:dyDescent="0.25">
      <c r="A7" s="103" t="inlineStr">
        <is>
          <t xml:space="preserve">IT001</t>
        </is>
      </c>
      <c r="B7" s="34" t="inlineStr">
        <is>
          <t xml:space="preserve">P1.1 Modelo de gobierno de TI</t>
        </is>
      </c>
      <c r="C7" s="34" t="inlineStr">
        <is>
          <t xml:space="preserve">Que las decisiones de TI tengan instancia, responsables y presupuesto. Las decisiones pasan por el comité de compras y no hay responsable de seguridad (G1, G7)</t>
        </is>
      </c>
      <c r="D7" s="34" t="inlineStr">
        <is>
          <t xml:space="preserve">Acta del Comité de TI, tabla de decisiones, RACI, perfiles de los dos cargos y estructura del presupuesto de TI; revisión anual del PETI</t>
        </is>
      </c>
      <c r="E7" s="34" t="inlineStr">
        <is>
          <t xml:space="preserve">Gobierno de TI</t>
        </is>
      </c>
      <c r="F7" s="34" t="inlineStr">
        <is>
          <t xml:space="preserve">OC01</t>
        </is>
      </c>
      <c r="G7" s="34" t="inlineStr">
        <is>
          <t xml:space="preserve">OETI01</t>
        </is>
      </c>
      <c r="H7" s="34" t="inlineStr">
        <is>
          <t xml:space="preserve">METI01, METI03</t>
        </is>
      </c>
      <c r="I7" s="34" t="inlineStr">
        <is>
          <t xml:space="preserve">Gerencia de TI</t>
        </is>
      </c>
      <c r="J7" s="34" t="inlineStr">
        <is>
          <t xml:space="preserve">Gerencia General, Planeación, Capital Humano</t>
        </is>
      </c>
      <c r="K7" s="34" t="inlineStr">
        <is>
          <t xml:space="preserve">6</t>
        </is>
      </c>
      <c r="L7" s="34" t="inlineStr">
        <is>
          <t xml:space="preserve">Fase 1: vigencia 2027</t>
        </is>
      </c>
      <c r="M7" s="34" t="inlineStr">
        <is>
          <t xml:space="preserve">Enero a junio de 2027</t>
        </is>
      </c>
      <c r="N7" s="34" t="inlineStr">
        <is>
          <t xml:space="preserve">COP 60 millones (estimación del equipo)</t>
        </is>
      </c>
      <c r="O7" s="87" t="inlineStr">
        <is>
          <t xml:space="preserve">B001, B002, B003, B006</t>
        </is>
      </c>
    </row>
    <row r="8" spans="1:15" x14ac:dyDescent="0.25">
      <c r="A8" s="108" t="inlineStr">
        <is>
          <t xml:space="preserve">IT002</t>
        </is>
      </c>
      <c r="B8" s="37" t="inlineStr">
        <is>
          <t xml:space="preserve">P1.2 Procesos de gestión de TI y gestión de proyectos</t>
        </is>
      </c>
      <c r="C8" s="37" t="inlineStr">
        <is>
          <t xml:space="preserve">Subir la calificación de la auditoría de TI y gestionar los proyectos con método. Auditoría de TI en 49 %; procedimientos desactualizados (G6)</t>
        </is>
      </c>
      <c r="D8" s="37" t="inlineStr">
        <is>
          <t xml:space="preserve">Documentar los procesos COBIT priorizados (7.2.3); cerrar las acciones del Plan de Mejoramiento; adoptar la metodología de la PMO</t>
        </is>
      </c>
      <c r="E8" s="37" t="inlineStr">
        <is>
          <t xml:space="preserve">Gobierno de TI</t>
        </is>
      </c>
      <c r="F8" s="37" t="inlineStr">
        <is>
          <t xml:space="preserve">OC01, OC02</t>
        </is>
      </c>
      <c r="G8" s="37" t="inlineStr">
        <is>
          <t xml:space="preserve">OETI01</t>
        </is>
      </c>
      <c r="H8" s="37" t="inlineStr">
        <is>
          <t xml:space="preserve">METI01, METI02</t>
        </is>
      </c>
      <c r="I8" s="37" t="inlineStr">
        <is>
          <t xml:space="preserve">Gerencia de TI</t>
        </is>
      </c>
      <c r="J8" s="37" t="inlineStr">
        <is>
          <t xml:space="preserve">Planeación y Proyectos (PMO), Arquitectura Empresarial</t>
        </is>
      </c>
      <c r="K8" s="37" t="inlineStr">
        <is>
          <t xml:space="preserve">11</t>
        </is>
      </c>
      <c r="L8" s="37" t="inlineStr">
        <is>
          <t xml:space="preserve">Fase 1: vigencia 2027</t>
        </is>
      </c>
      <c r="M8" s="37" t="inlineStr">
        <is>
          <t xml:space="preserve">Febrero a diciembre de 2027</t>
        </is>
      </c>
      <c r="N8" s="37" t="inlineStr">
        <is>
          <t xml:space="preserve">COP 150 millones (estimación del equipo)</t>
        </is>
      </c>
      <c r="O8" s="105" t="inlineStr">
        <is>
          <t xml:space="preserve">B004, B005</t>
        </is>
      </c>
    </row>
    <row r="9" spans="1:15" x14ac:dyDescent="0.25">
      <c r="A9" s="103" t="inlineStr">
        <is>
          <t xml:space="preserve">IT003</t>
        </is>
      </c>
      <c r="B9" s="34" t="inlineStr">
        <is>
          <t xml:space="preserve">P1.3 Catálogo de servicios y tablero de TI</t>
        </is>
      </c>
      <c r="C9" s="34" t="inlineStr">
        <is>
          <t xml:space="preserve">Saber qué servicios presta la TI y con qué nivel. No hay catálogo oficial (E2)</t>
        </is>
      </c>
      <c r="D9" s="34" t="inlineStr">
        <is>
          <t xml:space="preserve">Inventariar servicios, acordar ANS con las áreas, medir satisfacción y montar el tablero de KPI en Power BI</t>
        </is>
      </c>
      <c r="E9" s="34" t="inlineStr">
        <is>
          <t xml:space="preserve">Estrategia de TI</t>
        </is>
      </c>
      <c r="F9" s="34" t="inlineStr">
        <is>
          <t xml:space="preserve">OC04</t>
        </is>
      </c>
      <c r="G9" s="34" t="inlineStr">
        <is>
          <t xml:space="preserve">OETI02</t>
        </is>
      </c>
      <c r="H9" s="34" t="inlineStr">
        <is>
          <t xml:space="preserve">METI04, METI05</t>
        </is>
      </c>
      <c r="I9" s="34" t="inlineStr">
        <is>
          <t xml:space="preserve">Dirección de Servicios</t>
        </is>
      </c>
      <c r="J9" s="34" t="inlineStr">
        <is>
          <t xml:space="preserve">Operaciones, clientes internos</t>
        </is>
      </c>
      <c r="K9" s="34" t="inlineStr">
        <is>
          <t xml:space="preserve">10</t>
        </is>
      </c>
      <c r="L9" s="34" t="inlineStr">
        <is>
          <t xml:space="preserve">Fase 1: vigencia 2027</t>
        </is>
      </c>
      <c r="M9" s="34" t="inlineStr">
        <is>
          <t xml:space="preserve">Marzo a diciembre de 2027</t>
        </is>
      </c>
      <c r="N9" s="34" t="inlineStr">
        <is>
          <t xml:space="preserve">COP 80 millones (estimación del equipo)</t>
        </is>
      </c>
      <c r="O9" s="87" t="inlineStr">
        <is>
          <t xml:space="preserve">B007, B008</t>
        </is>
      </c>
    </row>
    <row r="10" spans="1:15" x14ac:dyDescent="0.25">
      <c r="A10" s="108" t="inlineStr">
        <is>
          <t xml:space="preserve">IT004</t>
        </is>
      </c>
      <c r="B10" s="37" t="inlineStr">
        <is>
          <t xml:space="preserve">P1.4 Gestión de incidentes y SOC propio</t>
        </is>
      </c>
      <c r="C10" s="37" t="inlineStr">
        <is>
          <t xml:space="preserve">Que todo incidente de seguridad se detecte, atienda y reporte a tiempo. La política de incidentes no se aplica de forma constante (SG1)</t>
        </is>
      </c>
      <c r="D10" s="37" t="inlineStr">
        <is>
          <t xml:space="preserve">Procedimiento de incidentes con tiempos; SOC propio con monitoreo de la TI interna; campaña anual de concientización</t>
        </is>
      </c>
      <c r="E10" s="37" t="inlineStr">
        <is>
          <t xml:space="preserve">Seguridad de la información</t>
        </is>
      </c>
      <c r="F10" s="37" t="inlineStr">
        <is>
          <t xml:space="preserve">OC01, OC05</t>
        </is>
      </c>
      <c r="G10" s="37" t="inlineStr">
        <is>
          <t xml:space="preserve">OETI06</t>
        </is>
      </c>
      <c r="H10" s="37" t="inlineStr">
        <is>
          <t xml:space="preserve">METI10, METI11</t>
        </is>
      </c>
      <c r="I10" s="37" t="inlineStr">
        <is>
          <t xml:space="preserve">Responsable de seguridad</t>
        </is>
      </c>
      <c r="J10" s="37" t="inlineStr">
        <is>
          <t xml:space="preserve">Infraestructura, Riesgos</t>
        </is>
      </c>
      <c r="K10" s="37" t="inlineStr">
        <is>
          <t xml:space="preserve">12</t>
        </is>
      </c>
      <c r="L10" s="37" t="inlineStr">
        <is>
          <t xml:space="preserve">Fase 1: vigencia 2027</t>
        </is>
      </c>
      <c r="M10" s="37" t="inlineStr">
        <is>
          <t xml:space="preserve">Enero a diciembre de 2027</t>
        </is>
      </c>
      <c r="N10" s="37" t="inlineStr">
        <is>
          <t xml:space="preserve">COP 350 millones (estimación del equipo)</t>
        </is>
      </c>
      <c r="O10" s="105" t="inlineStr">
        <is>
          <t xml:space="preserve">B009, OPT-002</t>
        </is>
      </c>
    </row>
    <row r="11" spans="1:15" x14ac:dyDescent="0.25">
      <c r="A11" s="103" t="inlineStr">
        <is>
          <t xml:space="preserve">IT005</t>
        </is>
      </c>
      <c r="B11" s="34" t="inlineStr">
        <is>
          <t xml:space="preserve">P1.5 ERP integrado</t>
        </is>
      </c>
      <c r="C11" s="34" t="inlineStr">
        <is>
          <t xml:space="preserve">Reemplazar las hojas de cálculo de contratos, compras y facturación. El ERP actual solo cubre finanzas y nómina; el integrado lleva dos años en requisitos (S2)</t>
        </is>
      </c>
      <c r="D11" s="34" t="inlineStr">
        <is>
          <t xml:space="preserve">Cierre de requisitos en el primer trimestre de 2027; contratación por convocatoria en el segundo; implantación por módulos en 2028</t>
        </is>
      </c>
      <c r="E11" s="34" t="inlineStr">
        <is>
          <t xml:space="preserve">Sistemas de información</t>
        </is>
      </c>
      <c r="F11" s="34" t="inlineStr">
        <is>
          <t xml:space="preserve">OC02, OC03</t>
        </is>
      </c>
      <c r="G11" s="34" t="inlineStr">
        <is>
          <t xml:space="preserve">OETI03</t>
        </is>
      </c>
      <c r="H11" s="34" t="inlineStr">
        <is>
          <t xml:space="preserve">METI06</t>
        </is>
      </c>
      <c r="I11" s="34" t="inlineStr">
        <is>
          <t xml:space="preserve">Gerencia Financiera y Gerencia de TI</t>
        </is>
      </c>
      <c r="J11" s="34" t="inlineStr">
        <is>
          <t xml:space="preserve">Secretaría General, Operaciones</t>
        </is>
      </c>
      <c r="K11" s="34" t="inlineStr">
        <is>
          <t xml:space="preserve">24</t>
        </is>
      </c>
      <c r="L11" s="34" t="inlineStr">
        <is>
          <t xml:space="preserve">Fase 1: vigencia 2027</t>
        </is>
      </c>
      <c r="M11" s="34" t="inlineStr">
        <is>
          <t xml:space="preserve">Enero de 2027 a diciembre de 2028</t>
        </is>
      </c>
      <c r="N11" s="34" t="inlineStr">
        <is>
          <t xml:space="preserve">COP 1.500 millones (estimación del equipo)</t>
        </is>
      </c>
      <c r="O11" s="87" t="inlineStr">
        <is>
          <t xml:space="preserve">B010</t>
        </is>
      </c>
    </row>
    <row r="12" spans="1:15" x14ac:dyDescent="0.25">
      <c r="A12" s="108" t="inlineStr">
        <is>
          <t xml:space="preserve">IT006</t>
        </is>
      </c>
      <c r="B12" s="37" t="inlineStr">
        <is>
          <t xml:space="preserve">P1.6 Continuidad y recuperación</t>
        </is>
      </c>
      <c r="C12" s="37" t="inlineStr">
        <is>
          <t xml:space="preserve">Recuperar los servicios críticos dentro de los tiempos acordados y cerrar el atraso de IPv6. El plan de continuidad no está implementado ni probado (SG2); el plazo de IPv6 venció en 2022 (T3)</t>
        </is>
      </c>
      <c r="D12" s="37" t="inlineStr">
        <is>
          <t xml:space="preserve">Completar el SGCN con base en el análisis de impacto de 2025; plan de recuperación por servicio; primera prueba en 2027; diagnóstico de IPv6 de la red propia</t>
        </is>
      </c>
      <c r="E12" s="37" t="inlineStr">
        <is>
          <t xml:space="preserve">Seguridad de la información</t>
        </is>
      </c>
      <c r="F12" s="37" t="inlineStr">
        <is>
          <t xml:space="preserve">OC03, OC04</t>
        </is>
      </c>
      <c r="G12" s="37" t="inlineStr">
        <is>
          <t xml:space="preserve">OETI05</t>
        </is>
      </c>
      <c r="H12" s="37" t="inlineStr">
        <is>
          <t xml:space="preserve">METI09, METI10</t>
        </is>
      </c>
      <c r="I12" s="37" t="inlineStr">
        <is>
          <t xml:space="preserve">Dirección de Infraestructura</t>
        </is>
      </c>
      <c r="J12" s="37" t="inlineStr">
        <is>
          <t xml:space="preserve">Riesgo y Continuidad</t>
        </is>
      </c>
      <c r="K12" s="37" t="inlineStr">
        <is>
          <t xml:space="preserve">12</t>
        </is>
      </c>
      <c r="L12" s="37" t="inlineStr">
        <is>
          <t xml:space="preserve">Fase 1: vigencia 2027</t>
        </is>
      </c>
      <c r="M12" s="37" t="inlineStr">
        <is>
          <t xml:space="preserve">Enero a diciembre de 2027</t>
        </is>
      </c>
      <c r="N12" s="37" t="inlineStr">
        <is>
          <t xml:space="preserve">COP 250 millones (estimación del equipo)</t>
        </is>
      </c>
      <c r="O12" s="105" t="inlineStr">
        <is>
          <t xml:space="preserve">B011, B023</t>
        </is>
      </c>
    </row>
    <row r="13" spans="1:15" x14ac:dyDescent="0.25">
      <c r="A13" s="103" t="inlineStr">
        <is>
          <t xml:space="preserve">IT007</t>
        </is>
      </c>
      <c r="B13" s="34" t="inlineStr">
        <is>
          <t xml:space="preserve">P2.1 Gobierno de datos y política de IA</t>
        </is>
      </c>
      <c r="C13" s="34" t="inlineStr">
        <is>
          <t xml:space="preserve">Catálogo de entidades de información, responsables por proceso, reglas de calidad, clasificación, conjuntos de datos abiertos y política de uso de IA.</t>
        </is>
      </c>
      <c r="D13" s="34" t="inlineStr">
        <is>
          <t xml:space="preserve">—</t>
        </is>
      </c>
      <c r="E13" s="34" t="inlineStr">
        <is>
          <t xml:space="preserve">Gestión de información</t>
        </is>
      </c>
      <c r="F13" s="34" t="inlineStr">
        <is>
          <t xml:space="preserve">OC01, OC04</t>
        </is>
      </c>
      <c r="G13" s="34" t="inlineStr">
        <is>
          <t xml:space="preserve">OETI04</t>
        </is>
      </c>
      <c r="H13" s="34" t="inlineStr">
        <is>
          <t xml:space="preserve">METI07</t>
        </is>
      </c>
      <c r="I13" s="34" t="inlineStr">
        <is>
          <t xml:space="preserve">Responsable de gobierno de datos</t>
        </is>
      </c>
      <c r="J13" s="34" t="inlineStr">
        <is>
          <t xml:space="preserve">líderes de proceso, Secretaría General</t>
        </is>
      </c>
      <c r="K13" s="34" t="inlineStr">
        <is>
          <t xml:space="preserve">12</t>
        </is>
      </c>
      <c r="L13" s="34" t="inlineStr">
        <is>
          <t xml:space="preserve">Fase 2: vigencia 2028</t>
        </is>
      </c>
      <c r="M13" s="34" t="inlineStr">
        <is>
          <t xml:space="preserve">Enero a diciembre de 2028</t>
        </is>
      </c>
      <c r="N13" s="34" t="inlineStr">
        <is>
          <t xml:space="preserve">COP 180 millones (estimación del equipo)</t>
        </is>
      </c>
      <c r="O13" s="87" t="inlineStr">
        <is>
          <t xml:space="preserve">B012</t>
        </is>
      </c>
    </row>
    <row r="14" spans="1:15" x14ac:dyDescent="0.25">
      <c r="A14" s="108" t="inlineStr">
        <is>
          <t xml:space="preserve">IT008</t>
        </is>
      </c>
      <c r="B14" s="37" t="inlineStr">
        <is>
          <t xml:space="preserve">P2.2 Sistema de gestión de clientes (CRM)</t>
        </is>
      </c>
      <c r="C14" s="37" t="inlineStr">
        <is>
          <t xml:space="preserve">Oportunidades, propuestas, contratos, satisfacción y PQRSD de clientes, conectado al ERP.</t>
        </is>
      </c>
      <c r="D14" s="37" t="inlineStr">
        <is>
          <t xml:space="preserve">—</t>
        </is>
      </c>
      <c r="E14" s="37" t="inlineStr">
        <is>
          <t xml:space="preserve">Sistemas de información</t>
        </is>
      </c>
      <c r="F14" s="37" t="inlineStr">
        <is>
          <t xml:space="preserve">OC04</t>
        </is>
      </c>
      <c r="G14" s="37" t="inlineStr">
        <is>
          <t xml:space="preserve">OETI03</t>
        </is>
      </c>
      <c r="H14" s="37" t="inlineStr">
        <is>
          <t xml:space="preserve">METI06</t>
        </is>
      </c>
      <c r="I14" s="37" t="inlineStr">
        <is>
          <t xml:space="preserve">Dirección Comercial y Gerencia de TI</t>
        </is>
      </c>
      <c r="J14" s="37"/>
      <c r="K14" s="37" t="inlineStr">
        <is>
          <t xml:space="preserve">11</t>
        </is>
      </c>
      <c r="L14" s="37" t="inlineStr">
        <is>
          <t xml:space="preserve">Fase 2: vigencia 2028</t>
        </is>
      </c>
      <c r="M14" s="37" t="inlineStr">
        <is>
          <t xml:space="preserve">Febrero a diciembre de 2028</t>
        </is>
      </c>
      <c r="N14" s="37" t="inlineStr">
        <is>
          <t xml:space="preserve">COP 400 millones (estimación del equipo)</t>
        </is>
      </c>
      <c r="O14" s="105" t="inlineStr">
        <is>
          <t xml:space="preserve">B013</t>
        </is>
      </c>
    </row>
    <row r="15" spans="1:15" x14ac:dyDescent="0.25">
      <c r="A15" s="103" t="inlineStr">
        <is>
          <t xml:space="preserve">IT009</t>
        </is>
      </c>
      <c r="B15" s="34" t="inlineStr">
        <is>
          <t xml:space="preserve">P2.3 Herramienta de gestión de servicios de TI</t>
        </is>
      </c>
      <c r="C15" s="34" t="inlineStr">
        <is>
          <t xml:space="preserve">Reemplaza OTRS y GLPI; atiende la mesa interna, las mesas de clientes y las PQRSD del sitio web; mide ANS por contrato.</t>
        </is>
      </c>
      <c r="D15" s="34" t="inlineStr">
        <is>
          <t xml:space="preserve">—</t>
        </is>
      </c>
      <c r="E15" s="34" t="inlineStr">
        <is>
          <t xml:space="preserve">Sistemas de información</t>
        </is>
      </c>
      <c r="F15" s="34" t="inlineStr">
        <is>
          <t xml:space="preserve">OC04, OC05</t>
        </is>
      </c>
      <c r="G15" s="34" t="inlineStr">
        <is>
          <t xml:space="preserve">OETI02</t>
        </is>
      </c>
      <c r="H15" s="34" t="inlineStr">
        <is>
          <t xml:space="preserve">METI04, METI05</t>
        </is>
      </c>
      <c r="I15" s="34" t="inlineStr">
        <is>
          <t xml:space="preserve">Dirección de Servicios</t>
        </is>
      </c>
      <c r="J15" s="34" t="inlineStr">
        <is>
          <t xml:space="preserve">Operaciones</t>
        </is>
      </c>
      <c r="K15" s="34" t="inlineStr">
        <is>
          <t xml:space="preserve">9</t>
        </is>
      </c>
      <c r="L15" s="34" t="inlineStr">
        <is>
          <t xml:space="preserve">Fase 2: vigencia 2028</t>
        </is>
      </c>
      <c r="M15" s="34" t="inlineStr">
        <is>
          <t xml:space="preserve">Enero a septiembre de 2028</t>
        </is>
      </c>
      <c r="N15" s="34" t="inlineStr">
        <is>
          <t xml:space="preserve">COP 300 millones (estimación del equipo)</t>
        </is>
      </c>
      <c r="O15" s="87" t="inlineStr">
        <is>
          <t xml:space="preserve">B014</t>
        </is>
      </c>
    </row>
    <row r="16" spans="1:15" x14ac:dyDescent="0.25">
      <c r="A16" s="108" t="inlineStr">
        <is>
          <t xml:space="preserve">IT010</t>
        </is>
      </c>
      <c r="B16" s="37" t="inlineStr">
        <is>
          <t xml:space="preserve">P2.4 Migración de servicios críticos a la nube</t>
        </is>
      </c>
      <c r="C16" s="37" t="inlineStr">
        <is>
          <t xml:space="preserve">Archivos a SharePoint, directorio en la nube con inicio de sesión único, intranet, telefonía y mesa de ayuda; cada servicio con contingencia</t>
        </is>
      </c>
      <c r="D16" s="37" t="inlineStr">
        <is>
          <t xml:space="preserve">Incluye la implementación de IPv6 en la red propia con el diagnóstico de P1.6 (BRE-023).</t>
        </is>
      </c>
      <c r="E16" s="37" t="inlineStr">
        <is>
          <t xml:space="preserve">Infraestructura de TI</t>
        </is>
      </c>
      <c r="F16" s="37" t="inlineStr">
        <is>
          <t xml:space="preserve">OC03</t>
        </is>
      </c>
      <c r="G16" s="37" t="inlineStr">
        <is>
          <t xml:space="preserve">OETI05</t>
        </is>
      </c>
      <c r="H16" s="37" t="inlineStr">
        <is>
          <t xml:space="preserve">METI08</t>
        </is>
      </c>
      <c r="I16" s="37" t="inlineStr">
        <is>
          <t xml:space="preserve">Dirección de Infraestructura</t>
        </is>
      </c>
      <c r="J16" s="37" t="inlineStr">
        <is>
          <t xml:space="preserve">todas las áreas</t>
        </is>
      </c>
      <c r="K16" s="37" t="inlineStr">
        <is>
          <t xml:space="preserve">18</t>
        </is>
      </c>
      <c r="L16" s="37" t="inlineStr">
        <is>
          <t xml:space="preserve">Fase 2: vigencia 2028</t>
        </is>
      </c>
      <c r="M16" s="37" t="inlineStr">
        <is>
          <t xml:space="preserve">Enero de 2028 a junio de 2029</t>
        </is>
      </c>
      <c r="N16" s="37" t="inlineStr">
        <is>
          <t xml:space="preserve">COP 500 millones (estimación del equipo)</t>
        </is>
      </c>
      <c r="O16" s="105" t="inlineStr">
        <is>
          <t xml:space="preserve">B015, B023</t>
        </is>
      </c>
    </row>
    <row r="17" spans="1:15" x14ac:dyDescent="0.25">
      <c r="A17" s="103" t="inlineStr">
        <is>
          <t xml:space="preserve">IT011</t>
        </is>
      </c>
      <c r="B17" s="34" t="inlineStr">
        <is>
          <t xml:space="preserve">P2.5 SGDEA</t>
        </is>
      </c>
      <c r="C17" s="34" t="inlineStr">
        <is>
          <t xml:space="preserve">Evalúa Carriel frente a MoReq y lo implanta, o contrata otro; depende de que el Consejo Departamental de Archivo convalide las tablas de retención.</t>
        </is>
      </c>
      <c r="D17" s="34" t="inlineStr">
        <is>
          <t xml:space="preserve">—</t>
        </is>
      </c>
      <c r="E17" s="34" t="inlineStr">
        <is>
          <t xml:space="preserve">Gestión de información</t>
        </is>
      </c>
      <c r="F17" s="34" t="inlineStr">
        <is>
          <t xml:space="preserve">OC01, OC02</t>
        </is>
      </c>
      <c r="G17" s="34" t="inlineStr">
        <is>
          <t xml:space="preserve">OETI03</t>
        </is>
      </c>
      <c r="H17" s="34" t="inlineStr">
        <is>
          <t xml:space="preserve">METI06</t>
        </is>
      </c>
      <c r="I17" s="34" t="inlineStr">
        <is>
          <t xml:space="preserve">Gestión Documental (Administrativa) y Gerencia de TI</t>
        </is>
      </c>
      <c r="J17" s="34"/>
      <c r="K17" s="34" t="inlineStr">
        <is>
          <t xml:space="preserve">21</t>
        </is>
      </c>
      <c r="L17" s="34" t="inlineStr">
        <is>
          <t xml:space="preserve">Fase 2: vigencia 2028</t>
        </is>
      </c>
      <c r="M17" s="34" t="inlineStr">
        <is>
          <t xml:space="preserve">Abril de 2028 a diciembre de 2029</t>
        </is>
      </c>
      <c r="N17" s="34" t="inlineStr">
        <is>
          <t xml:space="preserve">COP 450 millones (estimación del equipo)</t>
        </is>
      </c>
      <c r="O17" s="87" t="inlineStr">
        <is>
          <t xml:space="preserve">B016</t>
        </is>
      </c>
    </row>
    <row r="18" spans="1:15" x14ac:dyDescent="0.25">
      <c r="A18" s="108" t="inlineStr">
        <is>
          <t xml:space="preserve">IT012</t>
        </is>
      </c>
      <c r="B18" s="37" t="inlineStr">
        <is>
          <t xml:space="preserve">P2.6 Programa de uso y apropiación</t>
        </is>
      </c>
      <c r="C18" s="37" t="inlineStr">
        <is>
          <t xml:space="preserve">Formación en cada sistema nuevo, formación anual en seguridad y gestión del cambio con los líderes de proceso.</t>
        </is>
      </c>
      <c r="D18" s="37" t="inlineStr">
        <is>
          <t xml:space="preserve">—</t>
        </is>
      </c>
      <c r="E18" s="37" t="inlineStr">
        <is>
          <t xml:space="preserve">Uso y apropiación</t>
        </is>
      </c>
      <c r="F18" s="37" t="inlineStr">
        <is>
          <t xml:space="preserve">OC02</t>
        </is>
      </c>
      <c r="G18" s="37" t="inlineStr">
        <is>
          <t xml:space="preserve">OETI06</t>
        </is>
      </c>
      <c r="H18" s="37" t="inlineStr">
        <is>
          <t xml:space="preserve">METI05, METI11</t>
        </is>
      </c>
      <c r="I18" s="37" t="inlineStr">
        <is>
          <t xml:space="preserve">Responsable de uso y apropiación</t>
        </is>
      </c>
      <c r="J18" s="37" t="inlineStr">
        <is>
          <t xml:space="preserve">Capital Humano</t>
        </is>
      </c>
      <c r="K18" s="37" t="inlineStr">
        <is>
          <t xml:space="preserve">36</t>
        </is>
      </c>
      <c r="L18" s="37" t="inlineStr">
        <is>
          <t xml:space="preserve">Fase 2: vigencia 2028</t>
        </is>
      </c>
      <c r="M18" s="37" t="inlineStr">
        <is>
          <t xml:space="preserve">Enero de 2028 a diciembre de 2030</t>
        </is>
      </c>
      <c r="N18" s="37" t="inlineStr">
        <is>
          <t xml:space="preserve">COP 240 millones (estimación del equipo)</t>
        </is>
      </c>
      <c r="O18" s="105" t="inlineStr">
        <is>
          <t xml:space="preserve">B017</t>
        </is>
      </c>
    </row>
    <row r="19" spans="1:15" x14ac:dyDescent="0.25">
      <c r="A19" s="103" t="inlineStr">
        <is>
          <t xml:space="preserve">IT013</t>
        </is>
      </c>
      <c r="B19" s="34" t="inlineStr">
        <is>
          <t xml:space="preserve">P3.1 Gestión de procesos, integración y riesgos</t>
        </is>
      </c>
      <c r="C19" s="34" t="inlineStr">
        <is>
          <t xml:space="preserve">Flujos de los procesos de servicio y contratación, capa de integración entre ERP, CRM, gestión de servicios y SGDEA, y herramienta de riesgos.</t>
        </is>
      </c>
      <c r="D19" s="34" t="inlineStr">
        <is>
          <t xml:space="preserve">—</t>
        </is>
      </c>
      <c r="E19" s="34" t="inlineStr">
        <is>
          <t xml:space="preserve">Sistemas de información</t>
        </is>
      </c>
      <c r="F19" s="34" t="inlineStr">
        <is>
          <t xml:space="preserve">OC02, OC03</t>
        </is>
      </c>
      <c r="G19" s="34" t="inlineStr">
        <is>
          <t xml:space="preserve">OETI03</t>
        </is>
      </c>
      <c r="H19" s="34" t="inlineStr">
        <is>
          <t xml:space="preserve">METI06</t>
        </is>
      </c>
      <c r="I19" s="34" t="inlineStr">
        <is>
          <t xml:space="preserve">Gerencia de TI</t>
        </is>
      </c>
      <c r="J19" s="34" t="inlineStr">
        <is>
          <t xml:space="preserve">Operaciones, Secretaría General, Planeación</t>
        </is>
      </c>
      <c r="K19" s="34" t="inlineStr">
        <is>
          <t xml:space="preserve">18</t>
        </is>
      </c>
      <c r="L19" s="34" t="inlineStr">
        <is>
          <t xml:space="preserve">Fase 3: vigencia 2029</t>
        </is>
      </c>
      <c r="M19" s="34" t="inlineStr">
        <is>
          <t xml:space="preserve">Enero de 2029 a junio de 2030</t>
        </is>
      </c>
      <c r="N19" s="34" t="inlineStr">
        <is>
          <t xml:space="preserve">COP 900 millones (estimación del equipo)</t>
        </is>
      </c>
      <c r="O19" s="87" t="inlineStr">
        <is>
          <t xml:space="preserve">B018, B019, B020</t>
        </is>
      </c>
    </row>
    <row r="20" spans="1:15" x14ac:dyDescent="0.25">
      <c r="A20" s="108" t="inlineStr">
        <is>
          <t xml:space="preserve">IT014</t>
        </is>
      </c>
      <c r="B20" s="37" t="inlineStr">
        <is>
          <t xml:space="preserve">P3.2 Analítica institucional</t>
        </is>
      </c>
      <c r="C20" s="37" t="inlineStr">
        <is>
          <t xml:space="preserve">Tablero del PEI y de contratos sobre datos integrados.</t>
        </is>
      </c>
      <c r="D20" s="37" t="inlineStr">
        <is>
          <t xml:space="preserve">—</t>
        </is>
      </c>
      <c r="E20" s="37" t="inlineStr">
        <is>
          <t xml:space="preserve">Gestión de información</t>
        </is>
      </c>
      <c r="F20" s="37" t="inlineStr">
        <is>
          <t xml:space="preserve">OC01</t>
        </is>
      </c>
      <c r="G20" s="37" t="inlineStr">
        <is>
          <t xml:space="preserve">OETI04</t>
        </is>
      </c>
      <c r="H20" s="37" t="inlineStr">
        <is>
          <t xml:space="preserve">METI06, METI07</t>
        </is>
      </c>
      <c r="I20" s="37" t="inlineStr">
        <is>
          <t xml:space="preserve">Planeación y Gerencia de TI</t>
        </is>
      </c>
      <c r="J20" s="37"/>
      <c r="K20" s="37" t="inlineStr">
        <is>
          <t xml:space="preserve">12</t>
        </is>
      </c>
      <c r="L20" s="37" t="inlineStr">
        <is>
          <t xml:space="preserve">Fase 3: vigencia 2029</t>
        </is>
      </c>
      <c r="M20" s="37" t="inlineStr">
        <is>
          <t xml:space="preserve">Abril de 2029 a marzo de 2030</t>
        </is>
      </c>
      <c r="N20" s="37" t="inlineStr">
        <is>
          <t xml:space="preserve">COP 200 millones (estimación del equipo)</t>
        </is>
      </c>
      <c r="O20" s="105" t="inlineStr">
        <is>
          <t xml:space="preserve">B021</t>
        </is>
      </c>
    </row>
    <row r="21" spans="1:15" x14ac:dyDescent="0.25">
      <c r="A21" s="103" t="inlineStr">
        <is>
          <t xml:space="preserve">IT015</t>
        </is>
      </c>
      <c r="B21" s="34" t="inlineStr">
        <is>
          <t xml:space="preserve">P3.3 Capacidad y monitoreo de red (NOC)</t>
        </is>
      </c>
      <c r="C21" s="34" t="inlineStr">
        <is>
          <t xml:space="preserve">Plan anual de capacidad y NOC.</t>
        </is>
      </c>
      <c r="D21" s="34" t="inlineStr">
        <is>
          <t xml:space="preserve">—</t>
        </is>
      </c>
      <c r="E21" s="34" t="inlineStr">
        <is>
          <t xml:space="preserve">Infraestructura de TI</t>
        </is>
      </c>
      <c r="F21" s="34" t="inlineStr">
        <is>
          <t xml:space="preserve">OC03, OC04</t>
        </is>
      </c>
      <c r="G21" s="34" t="inlineStr">
        <is>
          <t xml:space="preserve">OETI05</t>
        </is>
      </c>
      <c r="H21" s="34" t="inlineStr">
        <is>
          <t xml:space="preserve">METI08</t>
        </is>
      </c>
      <c r="I21" s="34" t="inlineStr">
        <is>
          <t xml:space="preserve">Dirección de Infraestructura</t>
        </is>
      </c>
      <c r="J21" s="34"/>
      <c r="K21" s="34" t="inlineStr">
        <is>
          <t xml:space="preserve">12</t>
        </is>
      </c>
      <c r="L21" s="34" t="inlineStr">
        <is>
          <t xml:space="preserve">Fase 3: vigencia 2029</t>
        </is>
      </c>
      <c r="M21" s="34" t="inlineStr">
        <is>
          <t xml:space="preserve">Enero a diciembre de 2029</t>
        </is>
      </c>
      <c r="N21" s="34" t="inlineStr">
        <is>
          <t xml:space="preserve">COP 300 millones (estimación del equipo)</t>
        </is>
      </c>
      <c r="O21" s="87" t="inlineStr">
        <is>
          <t xml:space="preserve">B022</t>
        </is>
      </c>
    </row>
    <row r="22" spans="1:15" x14ac:dyDescent="0.25">
      <c r="A22" s="108" t="inlineStr">
        <is>
          <t xml:space="preserve">IT016</t>
        </is>
      </c>
      <c r="B22" s="37" t="inlineStr">
        <is>
          <t xml:space="preserve">P4.1 Evaluación del PETI y formulación del siguiente</t>
        </is>
      </c>
      <c r="C22" s="37" t="inlineStr">
        <is>
          <t xml:space="preserve">Medición final de las metas y formulación del PETI siguiente, alineado con el nuevo PEI y el nuevo plan departamental.</t>
        </is>
      </c>
      <c r="D22" s="37" t="inlineStr">
        <is>
          <t xml:space="preserve">—</t>
        </is>
      </c>
      <c r="E22" s="37" t="inlineStr">
        <is>
          <t xml:space="preserve">Estrategia de TI</t>
        </is>
      </c>
      <c r="F22" s="37" t="inlineStr">
        <is>
          <t xml:space="preserve">OC01</t>
        </is>
      </c>
      <c r="G22" s="37" t="inlineStr">
        <is>
          <t xml:space="preserve">OETI01</t>
        </is>
      </c>
      <c r="H22" s="37" t="inlineStr">
        <is>
          <t xml:space="preserve">METI02</t>
        </is>
      </c>
      <c r="I22" s="37" t="inlineStr">
        <is>
          <t xml:space="preserve">Gerencia de TI</t>
        </is>
      </c>
      <c r="J22" s="37" t="inlineStr">
        <is>
          <t xml:space="preserve">Comité de TI</t>
        </is>
      </c>
      <c r="K22" s="37" t="inlineStr">
        <is>
          <t xml:space="preserve">6</t>
        </is>
      </c>
      <c r="L22" s="37" t="inlineStr">
        <is>
          <t xml:space="preserve">Fase 4: vigencia 2030</t>
        </is>
      </c>
      <c r="M22" s="37" t="inlineStr">
        <is>
          <t xml:space="preserve">Julio a diciembre de 2030</t>
        </is>
      </c>
      <c r="N22" s="37" t="inlineStr">
        <is>
          <t xml:space="preserve">COP 60 millones (estimación del equipo)</t>
        </is>
      </c>
      <c r="O22" s="105" t="inlineStr">
        <is>
          <t xml:space="preserve">B006</t>
        </is>
      </c>
    </row>
    <row r="23" spans="1:15" x14ac:dyDescent="0.25">
      <c r="A23" s="103" t="inlineStr">
        <is>
          <t xml:space="preserve">IT017</t>
        </is>
      </c>
      <c r="B23" s="34" t="inlineStr">
        <is>
          <t xml:space="preserve">P4.2 IA en la atención de PQRSD y la mesa de ayuda</t>
        </is>
      </c>
      <c r="C23" s="34" t="inlineStr">
        <is>
          <t xml:space="preserve">Asistente para clasificar y responder solicitudes, con revisión humana, bajo la política de P2.1.</t>
        </is>
      </c>
      <c r="D23" s="34" t="inlineStr">
        <is>
          <t xml:space="preserve">—</t>
        </is>
      </c>
      <c r="E23" s="34" t="inlineStr">
        <is>
          <t xml:space="preserve">Gestión de información</t>
        </is>
      </c>
      <c r="F23" s="34" t="inlineStr">
        <is>
          <t xml:space="preserve">OC04, OC05</t>
        </is>
      </c>
      <c r="G23" s="34" t="inlineStr">
        <is>
          <t xml:space="preserve">OETI04</t>
        </is>
      </c>
      <c r="H23" s="34" t="inlineStr">
        <is>
          <t xml:space="preserve">METI05</t>
        </is>
      </c>
      <c r="I23" s="34" t="inlineStr">
        <is>
          <t xml:space="preserve">Gerencia de TI</t>
        </is>
      </c>
      <c r="J23" s="34" t="inlineStr">
        <is>
          <t xml:space="preserve">Atención al ciudadano, Comunicaciones</t>
        </is>
      </c>
      <c r="K23" s="34" t="inlineStr">
        <is>
          <t xml:space="preserve">12</t>
        </is>
      </c>
      <c r="L23" s="34" t="inlineStr">
        <is>
          <t xml:space="preserve">Fase 4: vigencia 2030</t>
        </is>
      </c>
      <c r="M23" s="34" t="inlineStr">
        <is>
          <t xml:space="preserve">Enero a diciembre de 2030</t>
        </is>
      </c>
      <c r="N23" s="34" t="inlineStr">
        <is>
          <t xml:space="preserve">COP 250 millones (estimación del equipo)</t>
        </is>
      </c>
      <c r="O23" s="87" t="inlineStr">
        <is>
          <t xml:space="preserve">OPT-001</t>
        </is>
      </c>
    </row>
    <row r="24" spans="1:15" ht="31.5" x14ac:dyDescent="0.25">
      <c r="A24" s="108" t="s">
        <v>178</v>
      </c>
      <c r="B24" s="37"/>
      <c r="C24" s="37"/>
      <c r="D24" s="37"/>
      <c r="E24" s="37"/>
      <c r="F24" s="37"/>
      <c r="G24" s="37"/>
      <c r="H24" s="37"/>
      <c r="I24" s="37"/>
      <c r="J24" s="37"/>
      <c r="K24" s="37"/>
      <c r="L24" s="37"/>
      <c r="M24" s="37"/>
      <c r="N24" s="37"/>
      <c r="O24" s="105"/>
    </row>
    <row r="25" spans="1:15" ht="31.5" x14ac:dyDescent="0.25">
      <c r="A25" s="103" t="s">
        <v>179</v>
      </c>
      <c r="B25" s="34"/>
      <c r="C25" s="34"/>
      <c r="D25" s="34"/>
      <c r="E25" s="34"/>
      <c r="F25" s="34"/>
      <c r="G25" s="34"/>
      <c r="H25" s="34"/>
      <c r="I25" s="34"/>
      <c r="J25" s="34"/>
      <c r="K25" s="34"/>
      <c r="L25" s="34"/>
      <c r="M25" s="34"/>
      <c r="N25" s="34"/>
      <c r="O25" s="87"/>
    </row>
    <row r="26" spans="1:15" ht="32.25" thickBot="1" x14ac:dyDescent="0.3">
      <c r="A26" s="109" t="s">
        <v>180</v>
      </c>
      <c r="B26" s="106"/>
      <c r="C26" s="106"/>
      <c r="D26" s="106"/>
      <c r="E26" s="106"/>
      <c r="F26" s="106"/>
      <c r="G26" s="106"/>
      <c r="H26" s="106"/>
      <c r="I26" s="106"/>
      <c r="J26" s="106"/>
      <c r="K26" s="106"/>
      <c r="L26" s="106"/>
      <c r="M26" s="106"/>
      <c r="N26" s="106"/>
      <c r="O26" s="107"/>
    </row>
  </sheetData>
  <mergeCells count="1">
    <mergeCell ref="A5:O5"/>
  </mergeCells>
  <phoneticPr fontId="14" type="noConversion"/>
  <printOptions gridLines="1"/>
  <pageMargins left="0.7" right="0.7" top="0.75" bottom="0.75" header="0.3" footer="0.3"/>
  <pageSetup scale="41" fitToHeight="0" orientation="landscape" r:id="rId1"/>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A5A71-F5CE-4792-972D-ACC3F0BA6355}">
  <sheetPr>
    <pageSetUpPr fitToPage="1"/>
  </sheetPr>
  <dimension ref="A6:G39"/>
  <sheetViews>
    <sheetView showGridLines="0" zoomScaleNormal="100" workbookViewId="0">
      <selection activeCell="F8" sqref="F8"/>
    </sheetView>
  </sheetViews>
  <sheetFormatPr baseColWidth="10" defaultColWidth="11.42578125" defaultRowHeight="15" x14ac:dyDescent="0.25"/>
  <cols>
    <col min="2" max="2" width="21.5703125" customWidth="1"/>
    <col min="3" max="3" width="17.42578125" customWidth="1"/>
    <col min="4" max="4" width="13.85546875" bestFit="1" customWidth="1"/>
    <col min="5" max="5" width="14.28515625" customWidth="1"/>
    <col min="6" max="6" width="21.28515625" customWidth="1"/>
    <col min="7" max="7" width="30" customWidth="1"/>
  </cols>
  <sheetData>
    <row r="6" spans="1:7" ht="18.75" x14ac:dyDescent="0.3">
      <c r="A6" s="222" t="s">
        <v>385</v>
      </c>
      <c r="B6" s="222"/>
      <c r="C6" s="222"/>
      <c r="D6" s="222"/>
      <c r="E6" s="222"/>
      <c r="F6" s="222"/>
      <c r="G6" s="222"/>
    </row>
    <row r="7" spans="1:7" ht="15.75" thickBot="1" x14ac:dyDescent="0.3"/>
    <row r="8" spans="1:7" ht="51.75" customHeight="1" x14ac:dyDescent="0.25">
      <c r="A8" s="116" t="s">
        <v>386</v>
      </c>
      <c r="B8" s="117" t="s">
        <v>387</v>
      </c>
      <c r="C8" s="117" t="s">
        <v>370</v>
      </c>
      <c r="D8" s="117" t="s">
        <v>371</v>
      </c>
      <c r="E8" s="117" t="s">
        <v>372</v>
      </c>
      <c r="F8" s="117" t="s">
        <v>373</v>
      </c>
      <c r="G8" s="118" t="s">
        <v>374</v>
      </c>
    </row>
    <row r="9" spans="1:7" x14ac:dyDescent="0.25">
      <c r="A9" s="119" t="inlineStr">
        <is>
          <t xml:space="preserve">KPI-01</t>
        </is>
      </c>
      <c r="B9" s="114" t="inlineStr">
        <is>
          <t xml:space="preserve">Gobierno de TI</t>
        </is>
      </c>
      <c r="C9" s="115" t="inlineStr">
        <is>
          <t xml:space="preserve">Eficacia</t>
        </is>
      </c>
      <c r="D9" s="115" t="inlineStr">
        <is>
          <t xml:space="preserve">Estratégico</t>
        </is>
      </c>
      <c r="E9" s="114" t="inlineStr">
        <is>
          <t xml:space="preserve">Calificación de la auditoría al proceso de Gestión de TI</t>
        </is>
      </c>
      <c r="F9" s="114" t="inlineStr">
        <is>
          <t xml:space="preserve">Mide METI01; proyectos P1.1, P1.2</t>
        </is>
      </c>
      <c r="G9" s="120" t="inlineStr">
        <is>
          <t xml:space="preserve">Puntaje del informe de auditoría interna. Puntaje obtenido</t>
        </is>
      </c>
    </row>
    <row r="10" spans="1:7" thickBot="1" x14ac:dyDescent="0.3">
      <c r="A10" s="121" t="inlineStr">
        <is>
          <t xml:space="preserve">KPI-02</t>
        </is>
      </c>
      <c r="B10" s="122" t="inlineStr">
        <is>
          <t xml:space="preserve">Estrategia de TI</t>
        </is>
      </c>
      <c r="C10" s="123" t="inlineStr">
        <is>
          <t xml:space="preserve">Eficacia</t>
        </is>
      </c>
      <c r="D10" s="123" t="inlineStr">
        <is>
          <t xml:space="preserve">Estratégico</t>
        </is>
      </c>
      <c r="E10" s="122" t="inlineStr">
        <is>
          <t xml:space="preserve">Nivel de ejecución del PETI</t>
        </is>
      </c>
      <c r="F10" s="122" t="inlineStr">
        <is>
          <t xml:space="preserve">Mide METI02; todo el portafolio</t>
        </is>
      </c>
      <c r="G10" s="124" t="inlineStr">
        <is>
          <t xml:space="preserve">(PT / PV) × 100. PT: proyectos terminados en la fecha planeada; PV: proyectos que debían terminar en la vigencia</t>
        </is>
      </c>
    </row>
    <row r="11">
      <c r="A11" t="inlineStr">
        <is>
          <t xml:space="preserve">KPI-03</t>
        </is>
      </c>
      <c r="B11" t="inlineStr">
        <is>
          <t xml:space="preserve">Gobierno de TI</t>
        </is>
      </c>
      <c r="C11" t="inlineStr">
        <is>
          <t xml:space="preserve">Eficacia</t>
        </is>
      </c>
      <c r="D11" t="inlineStr">
        <is>
          <t xml:space="preserve">Estratégico</t>
        </is>
      </c>
      <c r="E11" t="inlineStr">
        <is>
          <t xml:space="preserve">Puntaje FURAG de Gobierno Digital y Seguridad Digital</t>
        </is>
      </c>
      <c r="F11" t="inlineStr">
        <is>
          <t xml:space="preserve">Mide METI03; proyectos P1.1, P1.4, P2.1</t>
        </is>
      </c>
      <c r="G11" t="inlineStr">
        <is>
          <t xml:space="preserve">(Puntaje Gobierno Digital + Puntaje Seguridad Digital) / 2. Puntajes de las dos políticas</t>
        </is>
      </c>
    </row>
    <row r="12">
      <c r="A12" t="inlineStr">
        <is>
          <t xml:space="preserve">KPI-04</t>
        </is>
      </c>
      <c r="B12" t="inlineStr">
        <is>
          <t xml:space="preserve">Estrategia de TI</t>
        </is>
      </c>
      <c r="C12" t="inlineStr">
        <is>
          <t xml:space="preserve">Eficacia</t>
        </is>
      </c>
      <c r="D12" t="inlineStr">
        <is>
          <t xml:space="preserve">Táctico</t>
        </is>
      </c>
      <c r="E12" t="inlineStr">
        <is>
          <t xml:space="preserve">Servicios de TI con ANS medido</t>
        </is>
      </c>
      <c r="F12" t="inlineStr">
        <is>
          <t xml:space="preserve">Mide METI04; proyecto P1.3</t>
        </is>
      </c>
      <c r="G12" t="inlineStr">
        <is>
          <t xml:space="preserve">(SA / SC) × 100. SA: servicios con ANS medido en el periodo; SC: servicios del catálogo</t>
        </is>
      </c>
    </row>
    <row r="13">
      <c r="A13" t="inlineStr">
        <is>
          <t xml:space="preserve">KPI-05</t>
        </is>
      </c>
      <c r="B13" t="inlineStr">
        <is>
          <t xml:space="preserve">Uso y apropiación</t>
        </is>
      </c>
      <c r="C13" t="inlineStr">
        <is>
          <t xml:space="preserve">Calidad</t>
        </is>
      </c>
      <c r="D13" t="inlineStr">
        <is>
          <t xml:space="preserve">Táctico</t>
        </is>
      </c>
      <c r="E13" t="inlineStr">
        <is>
          <t xml:space="preserve">Satisfacción de usuarios internos con TI</t>
        </is>
      </c>
      <c r="F13" t="inlineStr">
        <is>
          <t xml:space="preserve">Mide METI05; proyectos P1.3, P2.3</t>
        </is>
      </c>
      <c r="G13" t="inlineStr">
        <is>
          <t xml:space="preserve">(RS / RT) × 100. RS: respuestas satisfechas o muy satisfechas; RT: respuestas</t>
        </is>
      </c>
    </row>
    <row r="14">
      <c r="A14" t="inlineStr">
        <is>
          <t xml:space="preserve">KPI-06</t>
        </is>
      </c>
      <c r="B14" t="inlineStr">
        <is>
          <t xml:space="preserve">Sistemas de información</t>
        </is>
      </c>
      <c r="C14" t="inlineStr">
        <is>
          <t xml:space="preserve">Eficacia</t>
        </is>
      </c>
      <c r="D14" t="inlineStr">
        <is>
          <t xml:space="preserve">Estratégico</t>
        </is>
      </c>
      <c r="E14" t="inlineStr">
        <is>
          <t xml:space="preserve">Procesos con cobertura total de sistemas de información</t>
        </is>
      </c>
      <c r="F14" t="inlineStr">
        <is>
          <t xml:space="preserve">Mide METI06; proyectos P1.5, P2.2, P2.5, P3.1</t>
        </is>
      </c>
      <c r="G14" t="inlineStr">
        <is>
          <t xml:space="preserve">(PC / 16) × 100. PC: procesos del mapa con cobertura total</t>
        </is>
      </c>
    </row>
    <row r="15">
      <c r="A15" t="inlineStr">
        <is>
          <t xml:space="preserve">KPI-07</t>
        </is>
      </c>
      <c r="B15" t="inlineStr">
        <is>
          <t xml:space="preserve">Información</t>
        </is>
      </c>
      <c r="C15" t="inlineStr">
        <is>
          <t xml:space="preserve">Calidad</t>
        </is>
      </c>
      <c r="D15" t="inlineStr">
        <is>
          <t xml:space="preserve">Táctico</t>
        </is>
      </c>
      <c r="E15" t="inlineStr">
        <is>
          <t xml:space="preserve">Entidades de información críticas gobernadas</t>
        </is>
      </c>
      <c r="F15" t="inlineStr">
        <is>
          <t xml:space="preserve">Mide METI07; proyecto P2.1</t>
        </is>
      </c>
      <c r="G15" t="inlineStr">
        <is>
          <t xml:space="preserve">(EG / EC) × 100. EG: entidades críticas con responsable y reglas de calidad; EC: entidades críticas del catálogo</t>
        </is>
      </c>
    </row>
    <row r="16">
      <c r="A16" t="inlineStr">
        <is>
          <t xml:space="preserve">KPI-08</t>
        </is>
      </c>
      <c r="B16" t="inlineStr">
        <is>
          <t xml:space="preserve">Infraestructura</t>
        </is>
      </c>
      <c r="C16" t="inlineStr">
        <is>
          <t xml:space="preserve">Eficacia</t>
        </is>
      </c>
      <c r="D16" t="inlineStr">
        <is>
          <t xml:space="preserve">Táctico</t>
        </is>
      </c>
      <c r="E16" t="inlineStr">
        <is>
          <t xml:space="preserve">Servicios en sitio migrados o con contingencia</t>
        </is>
      </c>
      <c r="F16" t="inlineStr">
        <is>
          <t xml:space="preserve">Mide METI08; proyecto P2.4</t>
        </is>
      </c>
      <c r="G16" t="inlineStr">
        <is>
          <t xml:space="preserve">(SM / 5) × 100. SM: servicios migrados o con contingencia en la nube</t>
        </is>
      </c>
    </row>
    <row r="17">
      <c r="A17" t="inlineStr">
        <is>
          <t xml:space="preserve">KPI-09</t>
        </is>
      </c>
      <c r="B17" t="inlineStr">
        <is>
          <t xml:space="preserve">Infraestructura</t>
        </is>
      </c>
      <c r="C17" t="inlineStr">
        <is>
          <t xml:space="preserve">Eficacia</t>
        </is>
      </c>
      <c r="D17" t="inlineStr">
        <is>
          <t xml:space="preserve">Operativo</t>
        </is>
      </c>
      <c r="E17" t="inlineStr">
        <is>
          <t xml:space="preserve">Pruebas de recuperación exitosas</t>
        </is>
      </c>
      <c r="F17" t="inlineStr">
        <is>
          <t xml:space="preserve">Mide METI09; proyecto P1.6</t>
        </is>
      </c>
      <c r="G17" t="inlineStr">
        <is>
          <t xml:space="preserve">Conteo de pruebas con RTO y RPO cumplidos. Pruebas exitosas en el año</t>
        </is>
      </c>
    </row>
    <row r="18">
      <c r="A18" t="inlineStr">
        <is>
          <t xml:space="preserve">KPI-10</t>
        </is>
      </c>
      <c r="B18" t="inlineStr">
        <is>
          <t xml:space="preserve">Seguridad</t>
        </is>
      </c>
      <c r="C18" t="inlineStr">
        <is>
          <t xml:space="preserve">Madurez</t>
        </is>
      </c>
      <c r="D18" t="inlineStr">
        <is>
          <t xml:space="preserve">Estratégico</t>
        </is>
      </c>
      <c r="E18" t="inlineStr">
        <is>
          <t xml:space="preserve">Madurez de seguridad de la información (MSPI)</t>
        </is>
      </c>
      <c r="F18" t="inlineStr">
        <is>
          <t xml:space="preserve">Mide METI10; proyectos P1.4, P1.6, P2.1</t>
        </is>
      </c>
      <c r="G18" t="inlineStr">
        <is>
          <t xml:space="preserve">Promedio de las calificaciones de los temas del instrumento del MSPI. Calificación por tema (0 a 100)</t>
        </is>
      </c>
    </row>
    <row r="19">
      <c r="A19" t="inlineStr">
        <is>
          <t xml:space="preserve">KPI-11</t>
        </is>
      </c>
      <c r="B19" t="inlineStr">
        <is>
          <t xml:space="preserve">Uso y apropiación</t>
        </is>
      </c>
      <c r="C19" t="inlineStr">
        <is>
          <t xml:space="preserve">Cobertura</t>
        </is>
      </c>
      <c r="D19" t="inlineStr">
        <is>
          <t xml:space="preserve">Táctico</t>
        </is>
      </c>
      <c r="E19" t="inlineStr">
        <is>
          <t xml:space="preserve">Colaboradores formados en uso de TI y seguridad</t>
        </is>
      </c>
      <c r="F19" t="inlineStr">
        <is>
          <t xml:space="preserve">Mide METI11; proyectos P1.4, P2.6</t>
        </is>
      </c>
      <c r="G19" t="inlineStr">
        <is>
          <t xml:space="preserve">(CF / CT) × 100. CF: colaboradores con al menos una formación aprobada en el año; CT: colaboradores</t>
        </is>
      </c>
    </row>
    <row r="35" spans="1:4" ht="15.75" thickBot="1" x14ac:dyDescent="0.3"/>
    <row r="36" spans="1:4" ht="15.75" x14ac:dyDescent="0.25">
      <c r="A36" s="223" t="s">
        <v>219</v>
      </c>
      <c r="B36" s="224"/>
      <c r="C36" s="224"/>
      <c r="D36" s="225"/>
    </row>
    <row r="37" spans="1:4" x14ac:dyDescent="0.25">
      <c r="A37" s="127" t="s">
        <v>220</v>
      </c>
      <c r="B37" s="125" t="inlineStr">
        <is>
          <t xml:space="preserve">Mayor o igual que la meta del año</t>
        </is>
      </c>
      <c r="C37" s="126"/>
      <c r="D37" s="128"/>
    </row>
    <row r="38" spans="1:4" x14ac:dyDescent="0.25">
      <c r="A38" s="129" t="s">
        <v>222</v>
      </c>
      <c r="B38" s="125" t="inlineStr">
        <is>
          <t xml:space="preserve">Hasta 10 puntos por debajo de la meta (KPI-03: 3; KPI-08: 20; KPI-09: 1)</t>
        </is>
      </c>
      <c r="C38" s="126"/>
      <c r="D38" s="128"/>
    </row>
    <row r="39" spans="1:4" thickBot="1" x14ac:dyDescent="0.3">
      <c r="A39" s="130" t="s">
        <v>223</v>
      </c>
      <c r="B39" s="131" t="inlineStr">
        <is>
          <t xml:space="preserve">Más abajo que el rango intermedio</t>
        </is>
      </c>
      <c r="C39" s="131"/>
      <c r="D39" s="132"/>
    </row>
  </sheetData>
  <mergeCells count="2">
    <mergeCell ref="A6:G6"/>
    <mergeCell ref="A36:D36"/>
  </mergeCells>
  <pageMargins left="0.7" right="0.7" top="0.75" bottom="0.75" header="0.3" footer="0.3"/>
  <pageSetup scale="69" fitToHeight="0" orientation="portrait" r:id="rId1"/>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E873A-FFEC-4ECE-A68A-9CE249F5AC01}">
  <sheetPr>
    <pageSetUpPr fitToPage="1"/>
  </sheetPr>
  <dimension ref="A5:M35"/>
  <sheetViews>
    <sheetView showGridLines="0" zoomScaleNormal="100" workbookViewId="0">
      <selection activeCell="E7" sqref="E7"/>
    </sheetView>
  </sheetViews>
  <sheetFormatPr baseColWidth="10" defaultColWidth="11.42578125" defaultRowHeight="15" x14ac:dyDescent="0.25"/>
  <cols>
    <col min="1" max="1" width="21.5703125" customWidth="1"/>
    <col min="2" max="2" width="17.42578125" customWidth="1"/>
    <col min="3" max="3" width="13.85546875" bestFit="1" customWidth="1"/>
    <col min="4" max="4" width="14.28515625" customWidth="1"/>
    <col min="5" max="5" width="21.28515625" customWidth="1"/>
    <col min="6" max="6" width="16.5703125" customWidth="1"/>
    <col min="7" max="7" width="19.7109375" customWidth="1"/>
    <col min="8" max="8" width="15.42578125" customWidth="1"/>
    <col min="13" max="13" width="14.5703125" customWidth="1"/>
  </cols>
  <sheetData>
    <row r="5" spans="1:13" ht="15.75" x14ac:dyDescent="0.25">
      <c r="A5" s="229" t="s">
        <v>388</v>
      </c>
      <c r="B5" s="229"/>
      <c r="C5" s="229"/>
      <c r="D5" s="229"/>
      <c r="E5" s="229"/>
      <c r="F5" s="229"/>
      <c r="G5" s="229"/>
      <c r="H5" s="229"/>
      <c r="I5" s="229"/>
      <c r="J5" s="229"/>
      <c r="K5" s="229"/>
      <c r="L5" s="229"/>
      <c r="M5" s="229"/>
    </row>
    <row r="6" spans="1:13" ht="15.75" thickBot="1" x14ac:dyDescent="0.3"/>
    <row r="7" spans="1:13" ht="30" x14ac:dyDescent="0.25">
      <c r="A7" s="142" t="s">
        <v>389</v>
      </c>
      <c r="B7" s="143" t="s">
        <v>372</v>
      </c>
      <c r="C7" s="143" t="s">
        <v>390</v>
      </c>
      <c r="D7" s="143" t="s">
        <v>391</v>
      </c>
      <c r="E7" s="144" t="s">
        <v>392</v>
      </c>
      <c r="F7" s="144" t="s">
        <v>218</v>
      </c>
      <c r="G7" s="143" t="s">
        <v>393</v>
      </c>
      <c r="H7" s="144" t="s">
        <v>394</v>
      </c>
      <c r="I7" s="144" t="s">
        <v>395</v>
      </c>
      <c r="J7" s="226" t="s">
        <v>219</v>
      </c>
      <c r="K7" s="226"/>
      <c r="L7" s="226"/>
      <c r="M7" s="145" t="s">
        <v>396</v>
      </c>
    </row>
    <row r="8" spans="1:13" x14ac:dyDescent="0.25">
      <c r="A8" s="146" t="inlineStr">
        <is>
          <t xml:space="preserve">IND.ES.01 (KPI-01)</t>
        </is>
      </c>
      <c r="B8" s="133" t="inlineStr">
        <is>
          <t xml:space="preserve">Calificación de la auditoría al proceso de Gestión de TI</t>
        </is>
      </c>
      <c r="C8" s="134" t="inlineStr">
        <is>
          <t xml:space="preserve">Mide METI01; proyectos P1.1, P1.2</t>
        </is>
      </c>
      <c r="D8" s="135" t="inlineStr">
        <is>
          <t xml:space="preserve">Estratégico</t>
        </is>
      </c>
      <c r="E8" s="136" t="inlineStr">
        <is>
          <t xml:space="preserve">Puntaje del informe de auditoría interna. Puntaje obtenido</t>
        </is>
      </c>
      <c r="F8" s="137" t="inlineStr">
        <is>
          <t xml:space="preserve">Anual</t>
        </is>
      </c>
      <c r="G8" s="137" t="inlineStr">
        <is>
          <t xml:space="preserve">Informe de auditorías internas (Arquitectura Empresarial)</t>
        </is>
      </c>
      <c r="H8" s="137" t="inlineStr">
        <is>
          <t xml:space="preserve">Gerente de TI</t>
        </is>
      </c>
      <c r="I8" s="138" t="inlineStr">
        <is>
          <t xml:space="preserve">2027: 70 %; 2028: 80 %; 2029: 90 %; 2030: 90 %</t>
        </is>
      </c>
      <c r="J8" s="139" t="inlineStr">
        <is>
          <t xml:space="preserve">≥ meta</t>
        </is>
      </c>
      <c r="K8" s="140" t="inlineStr">
        <is>
          <t xml:space="preserve">Meta − 10 a meta</t>
        </is>
      </c>
      <c r="L8" s="141" t="inlineStr">
        <is>
          <t xml:space="preserve">&lt; meta − 10</t>
        </is>
      </c>
      <c r="M8" s="147" t="inlineStr">
        <is>
          <t xml:space="preserve">Línea base: 49 % (2025; Informe de gestión 2025, pág. 49). Unidad: %</t>
        </is>
      </c>
    </row>
    <row r="9" spans="1:13" thickBot="1" x14ac:dyDescent="0.3">
      <c r="A9" s="148" t="inlineStr">
        <is>
          <t xml:space="preserve">IND.ES.02 (KPI-02)</t>
        </is>
      </c>
      <c r="B9" s="149" t="inlineStr">
        <is>
          <t xml:space="preserve">Nivel de ejecución del PETI</t>
        </is>
      </c>
      <c r="C9" s="150" t="inlineStr">
        <is>
          <t xml:space="preserve">Mide METI02; todo el portafolio</t>
        </is>
      </c>
      <c r="D9" s="151" t="inlineStr">
        <is>
          <t xml:space="preserve">Estratégico</t>
        </is>
      </c>
      <c r="E9" s="152" t="inlineStr">
        <is>
          <t xml:space="preserve">(PT / PV) × 100. PT: proyectos terminados en la fecha planeada; PV: proyectos que debían terminar en la vigencia</t>
        </is>
      </c>
      <c r="F9" s="153" t="inlineStr">
        <is>
          <t xml:space="preserve">Semestral</t>
        </is>
      </c>
      <c r="G9" s="153" t="inlineStr">
        <is>
          <t xml:space="preserve">Informe de la PMO</t>
        </is>
      </c>
      <c r="H9" s="153" t="inlineStr">
        <is>
          <t xml:space="preserve">Secretaría técnica del Comité de TI</t>
        </is>
      </c>
      <c r="I9" s="154" t="inlineStr">
        <is>
          <t xml:space="preserve">2027: 80 %; 2028: 80 %; 2029: 85 %; 2030: 90 %</t>
        </is>
      </c>
      <c r="J9" s="155" t="inlineStr">
        <is>
          <t xml:space="preserve">≥ meta</t>
        </is>
      </c>
      <c r="K9" s="156" t="inlineStr">
        <is>
          <t xml:space="preserve">Meta − 10 a meta</t>
        </is>
      </c>
      <c r="L9" s="157" t="inlineStr">
        <is>
          <t xml:space="preserve">&lt; meta − 10</t>
        </is>
      </c>
      <c r="M9" s="158" t="inlineStr">
        <is>
          <t xml:space="preserve">Línea base: No aplica (plan nuevo). Unidad: %</t>
        </is>
      </c>
    </row>
    <row r="10">
      <c r="A10" t="inlineStr">
        <is>
          <t xml:space="preserve">IND.ES.03 (KPI-03)</t>
        </is>
      </c>
      <c r="B10" t="inlineStr">
        <is>
          <t xml:space="preserve">Puntaje FURAG de Gobierno Digital y Seguridad Digital</t>
        </is>
      </c>
      <c r="C10" t="inlineStr">
        <is>
          <t xml:space="preserve">Mide METI03; proyectos P1.1, P1.4, P2.1</t>
        </is>
      </c>
      <c r="D10" t="inlineStr">
        <is>
          <t xml:space="preserve">Estratégico</t>
        </is>
      </c>
      <c r="E10" t="inlineStr">
        <is>
          <t xml:space="preserve">(Puntaje Gobierno Digital + Puntaje Seguridad Digital) / 2. Puntajes de las dos políticas</t>
        </is>
      </c>
      <c r="F10" t="inlineStr">
        <is>
          <t xml:space="preserve">Anual</t>
        </is>
      </c>
      <c r="G10" t="inlineStr">
        <is>
          <t xml:space="preserve">Resultados FURAG de Función Pública</t>
        </is>
      </c>
      <c r="H10" t="inlineStr">
        <is>
          <t xml:space="preserve">Director de Planeación y Proyectos</t>
        </is>
      </c>
      <c r="I10" t="inlineStr">
        <is>
          <t xml:space="preserve">2027: 86; 2028: 87; 2029: 88; 2030: 90</t>
        </is>
      </c>
      <c r="J10" t="inlineStr">
        <is>
          <t xml:space="preserve">≥ meta</t>
        </is>
      </c>
      <c r="K10" t="inlineStr">
        <is>
          <t xml:space="preserve">Meta − 3 a meta</t>
        </is>
      </c>
      <c r="L10" t="inlineStr">
        <is>
          <t xml:space="preserve">&lt; meta − 3</t>
        </is>
      </c>
      <c r="M10" t="inlineStr">
        <is>
          <t xml:space="preserve">Línea base: 85,75 (FURAG 2024: 86,3 y 85,2; Informe de gestión 2025, pág. 11). Unidad: Puntos</t>
        </is>
      </c>
    </row>
    <row r="11">
      <c r="A11" t="inlineStr">
        <is>
          <t xml:space="preserve">IND.ES.04 (KPI-04)</t>
        </is>
      </c>
      <c r="B11" t="inlineStr">
        <is>
          <t xml:space="preserve">Servicios de TI con ANS medido</t>
        </is>
      </c>
      <c r="C11" t="inlineStr">
        <is>
          <t xml:space="preserve">Mide METI04; proyecto P1.3</t>
        </is>
      </c>
      <c r="D11" t="inlineStr">
        <is>
          <t xml:space="preserve">Táctico</t>
        </is>
      </c>
      <c r="E11" t="inlineStr">
        <is>
          <t xml:space="preserve">(SA / SC) × 100. SA: servicios con ANS medido en el periodo; SC: servicios del catálogo</t>
        </is>
      </c>
      <c r="F11" t="inlineStr">
        <is>
          <t xml:space="preserve">Semestral</t>
        </is>
      </c>
      <c r="G11" t="inlineStr">
        <is>
          <t xml:space="preserve">Catálogo y tablero de servicios de TI</t>
        </is>
      </c>
      <c r="H11" t="inlineStr">
        <is>
          <t xml:space="preserve">Director de Servicios de TI</t>
        </is>
      </c>
      <c r="I11" t="inlineStr">
        <is>
          <t xml:space="preserve">2027: 50 %; 2028: 80 %; 2029: 100 %; 2030: 100 %</t>
        </is>
      </c>
      <c r="J11" t="inlineStr">
        <is>
          <t xml:space="preserve">≥ meta</t>
        </is>
      </c>
      <c r="K11" t="inlineStr">
        <is>
          <t xml:space="preserve">Meta − 10 a meta</t>
        </is>
      </c>
      <c r="L11" t="inlineStr">
        <is>
          <t xml:space="preserve">&lt; meta − 10</t>
        </is>
      </c>
      <c r="M11" t="inlineStr">
        <is>
          <t xml:space="preserve">Línea base: 0 % (no hay catálogo formal; numeral 6.1.3). Unidad: %</t>
        </is>
      </c>
    </row>
    <row r="12">
      <c r="A12" t="inlineStr">
        <is>
          <t xml:space="preserve">IND.ES.05 (KPI-05)</t>
        </is>
      </c>
      <c r="B12" t="inlineStr">
        <is>
          <t xml:space="preserve">Satisfacción de usuarios internos con TI</t>
        </is>
      </c>
      <c r="C12" t="inlineStr">
        <is>
          <t xml:space="preserve">Mide METI05; proyectos P1.3, P2.3</t>
        </is>
      </c>
      <c r="D12" t="inlineStr">
        <is>
          <t xml:space="preserve">Táctico</t>
        </is>
      </c>
      <c r="E12" t="inlineStr">
        <is>
          <t xml:space="preserve">(RS / RT) × 100. RS: respuestas satisfechas o muy satisfechas; RT: respuestas</t>
        </is>
      </c>
      <c r="F12" t="inlineStr">
        <is>
          <t xml:space="preserve">Semestral</t>
        </is>
      </c>
      <c r="G12" t="inlineStr">
        <is>
          <t xml:space="preserve">Encuesta en la herramienta de mesa de servicios</t>
        </is>
      </c>
      <c r="H12" t="inlineStr">
        <is>
          <t xml:space="preserve">Director de Servicios de TI</t>
        </is>
      </c>
      <c r="I12" t="inlineStr">
        <is>
          <t xml:space="preserve">2027: Línea base; 2028: ≥ 80 %; 2029: ≥ 85 %; 2030: ≥ 85 %</t>
        </is>
      </c>
      <c r="J12" t="inlineStr">
        <is>
          <t xml:space="preserve">≥ meta</t>
        </is>
      </c>
      <c r="K12" t="inlineStr">
        <is>
          <t xml:space="preserve">Meta − 10 a meta</t>
        </is>
      </c>
      <c r="L12" t="inlineStr">
        <is>
          <t xml:space="preserve">&lt; meta − 10</t>
        </is>
      </c>
      <c r="M12" t="inlineStr">
        <is>
          <t xml:space="preserve">Línea base: Sin medición; se mide en 2027. Unidad: %</t>
        </is>
      </c>
    </row>
    <row r="13">
      <c r="A13" t="inlineStr">
        <is>
          <t xml:space="preserve">IND.ES.06 (KPI-06)</t>
        </is>
      </c>
      <c r="B13" t="inlineStr">
        <is>
          <t xml:space="preserve">Procesos con cobertura total de sistemas de información</t>
        </is>
      </c>
      <c r="C13" t="inlineStr">
        <is>
          <t xml:space="preserve">Mide METI06; proyectos P1.5, P2.2, P2.5, P3.1</t>
        </is>
      </c>
      <c r="D13" t="inlineStr">
        <is>
          <t xml:space="preserve">Estratégico</t>
        </is>
      </c>
      <c r="E13" t="inlineStr">
        <is>
          <t xml:space="preserve">(PC / 16) × 100. PC: procesos del mapa con cobertura total</t>
        </is>
      </c>
      <c r="F13" t="inlineStr">
        <is>
          <t xml:space="preserve">Anual</t>
        </is>
      </c>
      <c r="G13" t="inlineStr">
        <is>
          <t xml:space="preserve">Matriz de alineación de TI con los procesos (numeral 5.1.5)</t>
        </is>
      </c>
      <c r="H13" t="inlineStr">
        <is>
          <t xml:space="preserve">Director de Desarrollo y Servicios</t>
        </is>
      </c>
      <c r="I13" t="inlineStr">
        <is>
          <t xml:space="preserve">2027: 12,5 %; 2028: 37,5 %; 2029: 62,5 %; 2030: 81 %</t>
        </is>
      </c>
      <c r="J13" t="inlineStr">
        <is>
          <t xml:space="preserve">≥ meta</t>
        </is>
      </c>
      <c r="K13" t="inlineStr">
        <is>
          <t xml:space="preserve">Meta − 10 a meta</t>
        </is>
      </c>
      <c r="L13" t="inlineStr">
        <is>
          <t xml:space="preserve">&lt; meta − 10</t>
        </is>
      </c>
      <c r="M13" t="inlineStr">
        <is>
          <t xml:space="preserve">Línea base: 12,5 % (2 de 16; numeral 5.1.5). Unidad: %</t>
        </is>
      </c>
    </row>
    <row r="14">
      <c r="A14" t="inlineStr">
        <is>
          <t xml:space="preserve">IND.ES.07 (KPI-07)</t>
        </is>
      </c>
      <c r="B14" t="inlineStr">
        <is>
          <t xml:space="preserve">Entidades de información críticas gobernadas</t>
        </is>
      </c>
      <c r="C14" t="inlineStr">
        <is>
          <t xml:space="preserve">Mide METI07; proyecto P2.1</t>
        </is>
      </c>
      <c r="D14" t="inlineStr">
        <is>
          <t xml:space="preserve">Táctico</t>
        </is>
      </c>
      <c r="E14" t="inlineStr">
        <is>
          <t xml:space="preserve">(EG / EC) × 100. EG: entidades críticas con responsable y reglas de calidad; EC: entidades críticas del catálogo</t>
        </is>
      </c>
      <c r="F14" t="inlineStr">
        <is>
          <t xml:space="preserve">Semestral</t>
        </is>
      </c>
      <c r="G14" t="inlineStr">
        <is>
          <t xml:space="preserve">Catálogo de datos</t>
        </is>
      </c>
      <c r="H14" t="inlineStr">
        <is>
          <t xml:space="preserve">Responsable de gobierno de datos</t>
        </is>
      </c>
      <c r="I14" t="inlineStr">
        <is>
          <t xml:space="preserve">2027: Inventario; 2028: 40 %; 2029: 80 %; 2030: 100 %</t>
        </is>
      </c>
      <c r="J14" t="inlineStr">
        <is>
          <t xml:space="preserve">≥ meta</t>
        </is>
      </c>
      <c r="K14" t="inlineStr">
        <is>
          <t xml:space="preserve">Meta − 10 a meta</t>
        </is>
      </c>
      <c r="L14" t="inlineStr">
        <is>
          <t xml:space="preserve">&lt; meta − 10</t>
        </is>
      </c>
      <c r="M14" t="inlineStr">
        <is>
          <t xml:space="preserve">Línea base: 0 % (numeral 6.3.1). Unidad: %</t>
        </is>
      </c>
    </row>
    <row r="15">
      <c r="A15" t="inlineStr">
        <is>
          <t xml:space="preserve">IND.ES.08 (KPI-08)</t>
        </is>
      </c>
      <c r="B15" t="inlineStr">
        <is>
          <t xml:space="preserve">Servicios en sitio migrados o con contingencia</t>
        </is>
      </c>
      <c r="C15" t="inlineStr">
        <is>
          <t xml:space="preserve">Mide METI08; proyecto P2.4</t>
        </is>
      </c>
      <c r="D15" t="inlineStr">
        <is>
          <t xml:space="preserve">Táctico</t>
        </is>
      </c>
      <c r="E15" t="inlineStr">
        <is>
          <t xml:space="preserve">(SM / 5) × 100. SM: servicios migrados o con contingencia en la nube</t>
        </is>
      </c>
      <c r="F15" t="inlineStr">
        <is>
          <t xml:space="preserve">Semestral</t>
        </is>
      </c>
      <c r="G15" t="inlineStr">
        <is>
          <t xml:space="preserve">Inventario de infraestructura</t>
        </is>
      </c>
      <c r="H15" t="inlineStr">
        <is>
          <t xml:space="preserve">Director de Infraestructura</t>
        </is>
      </c>
      <c r="I15" t="inlineStr">
        <is>
          <t xml:space="preserve">2027: 0 %; 2028: 60 %; 2029: 100 %; 2030: 100 %</t>
        </is>
      </c>
      <c r="J15" t="inlineStr">
        <is>
          <t xml:space="preserve">≥ meta</t>
        </is>
      </c>
      <c r="K15" t="inlineStr">
        <is>
          <t xml:space="preserve">Meta − 20 a meta</t>
        </is>
      </c>
      <c r="L15" t="inlineStr">
        <is>
          <t xml:space="preserve">&lt; meta − 20</t>
        </is>
      </c>
      <c r="M15" t="inlineStr">
        <is>
          <t xml:space="preserve">Línea base: 0 de 5 (numeral 6.5.1). Unidad: %</t>
        </is>
      </c>
    </row>
    <row r="16">
      <c r="A16" t="inlineStr">
        <is>
          <t xml:space="preserve">IND.ES.09 (KPI-09)</t>
        </is>
      </c>
      <c r="B16" t="inlineStr">
        <is>
          <t xml:space="preserve">Pruebas de recuperación exitosas</t>
        </is>
      </c>
      <c r="C16" t="inlineStr">
        <is>
          <t xml:space="preserve">Mide METI09; proyecto P1.6</t>
        </is>
      </c>
      <c r="D16" t="inlineStr">
        <is>
          <t xml:space="preserve">Operativo</t>
        </is>
      </c>
      <c r="E16" t="inlineStr">
        <is>
          <t xml:space="preserve">Conteo de pruebas con RTO y RPO cumplidos. Pruebas exitosas en el año</t>
        </is>
      </c>
      <c r="F16" t="inlineStr">
        <is>
          <t xml:space="preserve">Anual</t>
        </is>
      </c>
      <c r="G16" t="inlineStr">
        <is>
          <t xml:space="preserve">Informes de prueba del plan de recuperación</t>
        </is>
      </c>
      <c r="H16" t="inlineStr">
        <is>
          <t xml:space="preserve">Director de Infraestructura</t>
        </is>
      </c>
      <c r="I16" t="inlineStr">
        <is>
          <t xml:space="preserve">2027: 1; 2028: 2; 2029: 2; 2030: 2</t>
        </is>
      </c>
      <c r="J16" t="inlineStr">
        <is>
          <t xml:space="preserve">≥ meta</t>
        </is>
      </c>
      <c r="K16" t="inlineStr">
        <is>
          <t xml:space="preserve">Meta − 1</t>
        </is>
      </c>
      <c r="L16" t="inlineStr">
        <is>
          <t xml:space="preserve">0</t>
        </is>
      </c>
      <c r="M16" t="inlineStr">
        <is>
          <t xml:space="preserve">Línea base: 0 pruebas (numeral 6.5.3). Unidad: Número</t>
        </is>
      </c>
    </row>
    <row r="17">
      <c r="A17" t="inlineStr">
        <is>
          <t xml:space="preserve">IND.ES.10 (KPI-10)</t>
        </is>
      </c>
      <c r="B17" t="inlineStr">
        <is>
          <t xml:space="preserve">Madurez de seguridad de la información (MSPI)</t>
        </is>
      </c>
      <c r="C17" t="inlineStr">
        <is>
          <t xml:space="preserve">Mide METI10; proyectos P1.4, P1.6, P2.1</t>
        </is>
      </c>
      <c r="D17" t="inlineStr">
        <is>
          <t xml:space="preserve">Estratégico</t>
        </is>
      </c>
      <c r="E17" t="inlineStr">
        <is>
          <t xml:space="preserve">Promedio de las calificaciones de los temas del instrumento del MSPI. Calificación por tema (0 a 100)</t>
        </is>
      </c>
      <c r="F17" t="inlineStr">
        <is>
          <t xml:space="preserve">Anual</t>
        </is>
      </c>
      <c r="G17" t="inlineStr">
        <is>
          <t xml:space="preserve">Autoevaluación con el instrumento del MSPI</t>
        </is>
      </c>
      <c r="H17" t="inlineStr">
        <is>
          <t xml:space="preserve">Responsable de seguridad de la información</t>
        </is>
      </c>
      <c r="I17" t="inlineStr">
        <is>
          <t xml:space="preserve">2027: 55; 2028: 63; 2029: 70; 2030: 76</t>
        </is>
      </c>
      <c r="J17" t="inlineStr">
        <is>
          <t xml:space="preserve">≥ meta</t>
        </is>
      </c>
      <c r="K17" t="inlineStr">
        <is>
          <t xml:space="preserve">Meta − 5 a meta</t>
        </is>
      </c>
      <c r="L17" t="inlineStr">
        <is>
          <t xml:space="preserve">&lt; meta − 5</t>
        </is>
      </c>
      <c r="M17" t="inlineStr">
        <is>
          <t xml:space="preserve">Línea base: 47 (estimación del equipo; numeral 6.7). Unidad: Puntos</t>
        </is>
      </c>
    </row>
    <row r="18">
      <c r="A18" t="inlineStr">
        <is>
          <t xml:space="preserve">IND.ES.11 (KPI-11)</t>
        </is>
      </c>
      <c r="B18" t="inlineStr">
        <is>
          <t xml:space="preserve">Colaboradores formados en uso de TI y seguridad</t>
        </is>
      </c>
      <c r="C18" t="inlineStr">
        <is>
          <t xml:space="preserve">Mide METI11; proyectos P1.4, P2.6</t>
        </is>
      </c>
      <c r="D18" t="inlineStr">
        <is>
          <t xml:space="preserve">Táctico</t>
        </is>
      </c>
      <c r="E18" t="inlineStr">
        <is>
          <t xml:space="preserve">(CF / CT) × 100. CF: colaboradores con al menos una formación aprobada en el año; CT: colaboradores</t>
        </is>
      </c>
      <c r="F18" t="inlineStr">
        <is>
          <t xml:space="preserve">Semestral</t>
        </is>
      </c>
      <c r="G18" t="inlineStr">
        <is>
          <t xml:space="preserve">Registros de capacitación de Capital Humano</t>
        </is>
      </c>
      <c r="H18" t="inlineStr">
        <is>
          <t xml:space="preserve">Responsable de uso y apropiación</t>
        </is>
      </c>
      <c r="I18" t="inlineStr">
        <is>
          <t xml:space="preserve">2027: 40 %; 2028: 70 %; 2029: 85 %; 2030: 90 %</t>
        </is>
      </c>
      <c r="J18" t="inlineStr">
        <is>
          <t xml:space="preserve">≥ meta</t>
        </is>
      </c>
      <c r="K18" t="inlineStr">
        <is>
          <t xml:space="preserve">Meta − 10 a meta</t>
        </is>
      </c>
      <c r="L18" t="inlineStr">
        <is>
          <t xml:space="preserve">&lt; meta − 10</t>
        </is>
      </c>
      <c r="M18" t="inlineStr">
        <is>
          <t xml:space="preserve">Línea base: Sin medición (numeral 6.6.1). Unidad: %</t>
        </is>
      </c>
    </row>
    <row r="32" spans="1:3" ht="15.75" x14ac:dyDescent="0.25">
      <c r="A32" s="228"/>
      <c r="B32" s="228"/>
      <c r="C32" s="228"/>
    </row>
    <row r="33" spans="1:3" x14ac:dyDescent="0.25">
      <c r="A33" s="9">
        <v>0.9</v>
      </c>
      <c r="B33" s="6" t="s">
        <v>221</v>
      </c>
      <c r="C33" s="9">
        <v>1</v>
      </c>
    </row>
    <row r="34" spans="1:3" x14ac:dyDescent="0.25">
      <c r="A34" s="9">
        <v>0.5</v>
      </c>
      <c r="B34" s="6" t="s">
        <v>221</v>
      </c>
      <c r="C34" s="9">
        <v>0.8</v>
      </c>
    </row>
    <row r="35" spans="1:3" x14ac:dyDescent="0.25">
      <c r="A35" s="6">
        <v>0</v>
      </c>
      <c r="B35" s="6" t="s">
        <v>221</v>
      </c>
      <c r="C35" s="9">
        <v>0.5</v>
      </c>
    </row>
  </sheetData>
  <mergeCells count="3">
    <mergeCell ref="A32:C32"/>
    <mergeCell ref="J7:L7"/>
    <mergeCell ref="A5:M5"/>
  </mergeCells>
  <conditionalFormatting sqref="A8">
    <cfRule type="duplicateValues" dxfId="1" priority="1"/>
  </conditionalFormatting>
  <conditionalFormatting sqref="A9">
    <cfRule type="duplicateValues" dxfId="0" priority="2"/>
  </conditionalFormatting>
  <pageMargins left="0.7" right="0.7" top="0.75" bottom="0.75" header="0.3" footer="0.3"/>
  <pageSetup scale="61" fitToHeight="0" orientation="landscape" verticalDpi="0" r:id="rId1"/>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A9FA8-3774-4A36-BE60-4FD0999C24BB}">
  <sheetPr>
    <pageSetUpPr fitToPage="1"/>
  </sheetPr>
  <dimension ref="A8:G47"/>
  <sheetViews>
    <sheetView showGridLines="0" zoomScale="74" workbookViewId="0">
      <selection activeCell="F8" sqref="F8"/>
    </sheetView>
  </sheetViews>
  <sheetFormatPr baseColWidth="10" defaultColWidth="11.42578125" defaultRowHeight="15" x14ac:dyDescent="0.25"/>
  <cols>
    <col min="1" max="1" width="17" customWidth="1"/>
    <col min="2" max="2" width="29" bestFit="1" customWidth="1"/>
    <col min="3" max="3" width="33.7109375" customWidth="1"/>
    <col min="4" max="4" width="18.28515625" customWidth="1"/>
    <col min="5" max="5" width="18.5703125" customWidth="1"/>
    <col min="6" max="6" width="17.7109375" customWidth="1"/>
    <col min="7" max="7" width="20.140625" customWidth="1"/>
    <col min="8" max="8" width="17.28515625" customWidth="1"/>
  </cols>
  <sheetData>
    <row r="8" spans="1:7" ht="40.5" x14ac:dyDescent="0.25">
      <c r="A8" s="230" t="s">
        <v>213</v>
      </c>
      <c r="B8" s="230" t="s">
        <v>65</v>
      </c>
      <c r="C8" s="230" t="s">
        <v>68</v>
      </c>
      <c r="D8" s="3"/>
      <c r="E8" s="3"/>
      <c r="F8" s="3"/>
      <c r="G8" s="3"/>
    </row>
    <row r="9" spans="1:7" x14ac:dyDescent="0.25">
      <c r="A9" s="231" t="inlineStr">
        <is>
          <t xml:space="preserve">Junta Directiva y Gerencia General</t>
        </is>
      </c>
      <c r="B9" s="231" t="inlineStr">
        <is>
          <t xml:space="preserve">Inversión, riesgos y resultados</t>
        </is>
      </c>
      <c r="C9" s="231" t="inlineStr">
        <is>
          <t xml:space="preserve">Mensaje principal: Qué se invierte cada año y qué metas se cumplen</t>
        </is>
      </c>
    </row>
    <row r="10" spans="1:7" x14ac:dyDescent="0.25">
      <c r="A10" s="231" t="inlineStr">
        <is>
          <t xml:space="preserve">Comité Institucional de Gestión y Desempeño</t>
        </is>
      </c>
      <c r="B10" s="231" t="inlineStr">
        <is>
          <t xml:space="preserve">Aprobación y seguimiento en el MIPG</t>
        </is>
      </c>
      <c r="C10" s="231" t="inlineStr">
        <is>
          <t xml:space="preserve">Mensaje principal: Avance de metas y de las políticas de Gobierno Digital y Seguridad Digital</t>
        </is>
      </c>
    </row>
    <row r="11" spans="1:7" x14ac:dyDescent="0.25">
      <c r="A11" s="231" t="inlineStr">
        <is>
          <t xml:space="preserve">Líderes de proceso</t>
        </is>
      </c>
      <c r="B11" s="231" t="inlineStr">
        <is>
          <t xml:space="preserve">Sistemas nuevos, datos y cambios en su trabajo</t>
        </is>
      </c>
      <c r="C11" s="231" t="inlineStr">
        <is>
          <t xml:space="preserve">Mensaje principal: Qué sistema reemplaza sus hojas de cálculo, cuándo y qué deben aportar</t>
        </is>
      </c>
    </row>
    <row r="12" spans="1:7" x14ac:dyDescent="0.25">
      <c r="A12" s="231" t="inlineStr">
        <is>
          <t xml:space="preserve">Colaboradores</t>
        </is>
      </c>
      <c r="B12" s="231" t="inlineStr">
        <is>
          <t xml:space="preserve">Formación y herramientas</t>
        </is>
      </c>
      <c r="C12" s="231" t="inlineStr">
        <is>
          <t xml:space="preserve">Mensaje principal: Calendario de capacitaciones y canales de soporte</t>
        </is>
      </c>
    </row>
    <row r="13" spans="1:7" x14ac:dyDescent="0.25">
      <c r="A13" s="231" t="inlineStr">
        <is>
          <t xml:space="preserve">Equipo de TI</t>
        </is>
      </c>
      <c r="B13" s="231" t="inlineStr">
        <is>
          <t xml:space="preserve">Proyectos, roles y procesos</t>
        </is>
      </c>
      <c r="C13" s="231" t="inlineStr">
        <is>
          <t xml:space="preserve">Mensaje principal: Prioridades del año y responsabilidades (RACI)</t>
        </is>
      </c>
    </row>
    <row r="14" spans="1:7" x14ac:dyDescent="0.25">
      <c r="A14" s="231" t="inlineStr">
        <is>
          <t xml:space="preserve">Clientes</t>
        </is>
      </c>
      <c r="B14" s="231" t="inlineStr">
        <is>
          <t xml:space="preserve">Niveles de servicio</t>
        </is>
      </c>
      <c r="C14" s="231" t="inlineStr">
        <is>
          <t xml:space="preserve">Mensaje principal: Mejoras en los servicios que contratan y cómo se miden</t>
        </is>
      </c>
    </row>
    <row r="15" spans="1:7" x14ac:dyDescent="0.25">
      <c r="A15" s="231" t="inlineStr">
        <is>
          <t xml:space="preserve">Ciudadanos y entes de control</t>
        </is>
      </c>
      <c r="B15" s="231" t="inlineStr">
        <is>
          <t xml:space="preserve">Transparencia</t>
        </is>
      </c>
      <c r="C15" s="231" t="inlineStr">
        <is>
          <t xml:space="preserve">Mensaje principal: PETI publicado y resultados anuales</t>
        </is>
      </c>
    </row>
    <row r="16" spans="1:7" x14ac:dyDescent="0.25">
      <c r="A16" s="231" t="inlineStr">
        <is>
          <t xml:space="preserve">IDEA (accionista)</t>
        </is>
      </c>
      <c r="B16" s="231" t="inlineStr">
        <is>
          <t xml:space="preserve">Sostenibilidad y resultados</t>
        </is>
      </c>
      <c r="C16" s="231" t="inlineStr">
        <is>
          <t xml:space="preserve">Mensaje principal: Resumen anual de inversión y resultados</t>
        </is>
      </c>
    </row>
    <row r="17" spans="1:7" ht="30.6" customHeight="1" x14ac:dyDescent="0.25">
      <c r="A17" s="231"/>
      <c r="B17" s="231"/>
      <c r="C17" s="231"/>
    </row>
    <row r="23" spans="1:7" ht="57.6" customHeight="1" x14ac:dyDescent="0.25">
      <c r="A23" s="232" t="s">
        <v>214</v>
      </c>
      <c r="B23" s="230" t="s">
        <v>409</v>
      </c>
      <c r="C23" s="230" t="s">
        <v>213</v>
      </c>
      <c r="D23" s="230" t="s">
        <v>215</v>
      </c>
      <c r="E23" s="230" t="s">
        <v>216</v>
      </c>
      <c r="F23" s="230" t="s">
        <v>217</v>
      </c>
      <c r="G23" s="230" t="s">
        <v>218</v>
      </c>
    </row>
    <row r="24" spans="1:7" x14ac:dyDescent="0.25">
      <c r="A24" s="232"/>
      <c r="B24" s="233" t="inlineStr">
        <is>
          <t xml:space="preserve">Presentación del PETI para aprobación</t>
        </is>
      </c>
      <c r="C24" s="231" t="inlineStr">
        <is>
          <t xml:space="preserve">Comité Institucional de Gestión y Desempeño</t>
        </is>
      </c>
      <c r="D24" s="231" t="inlineStr">
        <is>
          <t xml:space="preserve">Sesión del comité</t>
        </is>
      </c>
      <c r="E24" s="231" t="inlineStr">
        <is>
          <t xml:space="preserve">Presentación y documento</t>
        </is>
      </c>
      <c r="F24" s="231" t="inlineStr">
        <is>
          <t xml:space="preserve">Gerente de TI</t>
        </is>
      </c>
      <c r="G24" s="231" t="inlineStr">
        <is>
          <t xml:space="preserve">Una vez (diciembre de 2026) y en cada actualización</t>
        </is>
      </c>
    </row>
    <row r="25" spans="1:7" ht="14.45" customHeight="1" x14ac:dyDescent="0.25">
      <c r="A25" s="232"/>
      <c r="B25" s="233"/>
      <c r="C25" s="231"/>
      <c r="D25" s="231"/>
      <c r="E25" s="231"/>
      <c r="F25" s="231"/>
      <c r="G25" s="231"/>
    </row>
    <row r="26" spans="1:7" ht="14.45" customHeight="1" x14ac:dyDescent="0.25">
      <c r="A26" s="232"/>
      <c r="B26" s="233"/>
      <c r="C26" s="231"/>
      <c r="D26" s="231"/>
      <c r="E26" s="231"/>
      <c r="F26" s="231"/>
      <c r="G26" s="231"/>
    </row>
    <row r="27" spans="1:7" x14ac:dyDescent="0.25">
      <c r="A27" s="232"/>
      <c r="B27" s="233" t="inlineStr">
        <is>
          <t xml:space="preserve">Publicación del PETI</t>
        </is>
      </c>
      <c r="C27" s="231" t="inlineStr">
        <is>
          <t xml:space="preserve">Ciudadanos, clientes y entes de control</t>
        </is>
      </c>
      <c r="D27" s="231" t="inlineStr">
        <is>
          <t xml:space="preserve">Sitio web, sección de transparencia</t>
        </is>
      </c>
      <c r="E27" s="231" t="inlineStr">
        <is>
          <t xml:space="preserve">Documento PDF</t>
        </is>
      </c>
      <c r="F27" s="231" t="inlineStr">
        <is>
          <t xml:space="preserve">Coordinación de Comunicaciones</t>
        </is>
      </c>
      <c r="G27" s="231" t="inlineStr">
        <is>
          <t xml:space="preserve">Antes del 31 de enero de cada año</t>
        </is>
      </c>
    </row>
    <row r="28" spans="1:7" ht="14.45" customHeight="1" x14ac:dyDescent="0.25">
      <c r="A28" s="232"/>
      <c r="B28" s="233"/>
      <c r="C28" s="231"/>
      <c r="D28" s="231"/>
      <c r="E28" s="231"/>
      <c r="F28" s="231"/>
      <c r="G28" s="231"/>
    </row>
    <row r="29" spans="1:7" ht="14.45" customHeight="1" x14ac:dyDescent="0.25">
      <c r="A29" s="232"/>
      <c r="B29" s="233"/>
      <c r="C29" s="231"/>
      <c r="D29" s="231"/>
      <c r="E29" s="231"/>
      <c r="F29" s="231"/>
      <c r="G29" s="231"/>
    </row>
    <row r="30" spans="1:7" x14ac:dyDescent="0.25">
      <c r="A30" s="232"/>
      <c r="B30" s="233" t="inlineStr">
        <is>
          <t xml:space="preserve">Lanzamiento interno</t>
        </is>
      </c>
      <c r="C30" s="231" t="inlineStr">
        <is>
          <t xml:space="preserve">Colaboradores</t>
        </is>
      </c>
      <c r="D30" s="231" t="inlineStr">
        <is>
          <t xml:space="preserve">Intranet, correo y reunión general</t>
        </is>
      </c>
      <c r="E30" s="231" t="inlineStr">
        <is>
          <t xml:space="preserve">Pieza gráfica y resumen de una página</t>
        </is>
      </c>
      <c r="F30" s="231" t="inlineStr">
        <is>
          <t xml:space="preserve">Comunicaciones y Gerencia de TI</t>
        </is>
      </c>
      <c r="G30" s="231" t="inlineStr">
        <is>
          <t xml:space="preserve">Enero de 2027</t>
        </is>
      </c>
    </row>
    <row r="31" spans="1:7" ht="14.45" customHeight="1" x14ac:dyDescent="0.25">
      <c r="A31" s="232"/>
      <c r="B31" s="233"/>
      <c r="C31" s="231"/>
      <c r="D31" s="231"/>
      <c r="E31" s="231"/>
      <c r="F31" s="231"/>
      <c r="G31" s="231"/>
    </row>
    <row r="32" spans="1:7" ht="17.25" x14ac:dyDescent="0.25">
      <c r="A32" s="232"/>
      <c r="B32" s="233"/>
      <c r="C32" s="231"/>
      <c r="D32" s="231"/>
      <c r="E32" s="231"/>
      <c r="F32" s="231"/>
      <c r="G32" s="231"/>
    </row>
    <row r="33" spans="1:7" x14ac:dyDescent="0.25">
      <c r="A33" s="232"/>
      <c r="B33" s="233" t="inlineStr">
        <is>
          <t xml:space="preserve">Seguimiento del portafolio</t>
        </is>
      </c>
      <c r="C33" s="231" t="inlineStr">
        <is>
          <t xml:space="preserve">Comité de TI</t>
        </is>
      </c>
      <c r="D33" s="231" t="inlineStr">
        <is>
          <t xml:space="preserve">Sesión del comité</t>
        </is>
      </c>
      <c r="E33" s="231" t="inlineStr">
        <is>
          <t xml:space="preserve">Tablero de indicadores</t>
        </is>
      </c>
      <c r="F33" s="231" t="inlineStr">
        <is>
          <t xml:space="preserve">PMO</t>
        </is>
      </c>
      <c r="G33" s="231" t="inlineStr">
        <is>
          <t xml:space="preserve">Mensual</t>
        </is>
      </c>
    </row>
    <row r="34" spans="1:7" ht="17.25" x14ac:dyDescent="0.25">
      <c r="A34" s="232"/>
      <c r="B34" s="233"/>
      <c r="C34" s="231"/>
      <c r="D34" s="231"/>
      <c r="E34" s="231"/>
      <c r="F34" s="231"/>
      <c r="G34" s="231"/>
    </row>
    <row r="35" spans="1:7" ht="17.25" x14ac:dyDescent="0.25">
      <c r="A35" s="232"/>
      <c r="B35" s="233"/>
      <c r="C35" s="231"/>
      <c r="D35" s="231"/>
      <c r="E35" s="231"/>
      <c r="F35" s="231"/>
      <c r="G35" s="231"/>
    </row>
    <row r="36" spans="1:7" x14ac:dyDescent="0.25">
      <c r="A36" s="232"/>
      <c r="B36" s="233" t="inlineStr">
        <is>
          <t xml:space="preserve">Informe de avance</t>
        </is>
      </c>
      <c r="C36" s="231" t="inlineStr">
        <is>
          <t xml:space="preserve">Comité Institucional y Gerencia General</t>
        </is>
      </c>
      <c r="D36" s="231" t="inlineStr">
        <is>
          <t xml:space="preserve">Sesión del comité</t>
        </is>
      </c>
      <c r="E36" s="231" t="inlineStr">
        <is>
          <t xml:space="preserve">Informe ejecutivo</t>
        </is>
      </c>
      <c r="F36" s="231" t="inlineStr">
        <is>
          <t xml:space="preserve">Gerente de TI</t>
        </is>
      </c>
      <c r="G36" s="231" t="inlineStr">
        <is>
          <t xml:space="preserve">Semestral</t>
        </is>
      </c>
    </row>
    <row r="37" spans="1:7" ht="17.25" x14ac:dyDescent="0.25">
      <c r="A37" s="232"/>
      <c r="B37" s="233"/>
      <c r="C37" s="231"/>
      <c r="D37" s="231"/>
      <c r="E37" s="231"/>
      <c r="F37" s="231"/>
      <c r="G37" s="231"/>
    </row>
    <row r="38" spans="1:7" ht="17.25" x14ac:dyDescent="0.25">
      <c r="A38" s="232"/>
      <c r="B38" s="233"/>
      <c r="C38" s="231"/>
      <c r="D38" s="231"/>
      <c r="E38" s="231"/>
      <c r="F38" s="231"/>
      <c r="G38" s="231"/>
    </row>
    <row r="39" spans="1:7" x14ac:dyDescent="0.25">
      <c r="A39" s="232"/>
      <c r="B39" s="233" t="inlineStr">
        <is>
          <t xml:space="preserve">Anuncio de cada sistema nuevo</t>
        </is>
      </c>
      <c r="C39" s="231" t="inlineStr">
        <is>
          <t xml:space="preserve">Líderes de proceso y usuarios</t>
        </is>
      </c>
      <c r="D39" s="231" t="inlineStr">
        <is>
          <t xml:space="preserve">Correo, intranet y talleres</t>
        </is>
      </c>
      <c r="E39" s="231" t="inlineStr">
        <is>
          <t xml:space="preserve">Guía de uso y calendario de formación</t>
        </is>
      </c>
      <c r="F39" s="231" t="inlineStr">
        <is>
          <t xml:space="preserve">Responsable de uso y apropiación</t>
        </is>
      </c>
      <c r="G39" s="231" t="inlineStr">
        <is>
          <t xml:space="preserve">Al inicio y al cierre de cada proyecto</t>
        </is>
      </c>
    </row>
    <row r="40" spans="1:7" ht="17.25" x14ac:dyDescent="0.25">
      <c r="A40" s="232"/>
      <c r="B40" s="233"/>
      <c r="C40" s="231"/>
      <c r="D40" s="231"/>
      <c r="E40" s="231"/>
      <c r="F40" s="231"/>
      <c r="G40" s="231"/>
    </row>
    <row r="41" spans="1:7" ht="17.25" x14ac:dyDescent="0.25">
      <c r="A41" s="232"/>
      <c r="B41" s="233"/>
      <c r="C41" s="231"/>
      <c r="D41" s="231"/>
      <c r="E41" s="231"/>
      <c r="F41" s="231"/>
      <c r="G41" s="231"/>
    </row>
    <row r="42" spans="1:7" x14ac:dyDescent="0.25">
      <c r="A42" s="232"/>
      <c r="B42" s="233" t="inlineStr">
        <is>
          <t xml:space="preserve">Boletín de seguridad</t>
        </is>
      </c>
      <c r="C42" s="231" t="inlineStr">
        <is>
          <t xml:space="preserve">Colaboradores</t>
        </is>
      </c>
      <c r="D42" s="231" t="inlineStr">
        <is>
          <t xml:space="preserve">Correo</t>
        </is>
      </c>
      <c r="E42" s="231" t="inlineStr">
        <is>
          <t xml:space="preserve">Boletín</t>
        </is>
      </c>
      <c r="F42" s="231" t="inlineStr">
        <is>
          <t xml:space="preserve">Responsable de seguridad</t>
        </is>
      </c>
      <c r="G42" s="231" t="inlineStr">
        <is>
          <t xml:space="preserve">Mensual</t>
        </is>
      </c>
    </row>
    <row r="43" spans="1:7" ht="17.25" x14ac:dyDescent="0.25">
      <c r="A43" s="232"/>
      <c r="B43" s="233"/>
      <c r="C43" s="231"/>
      <c r="D43" s="231"/>
      <c r="E43" s="231"/>
      <c r="F43" s="231"/>
      <c r="G43" s="231"/>
    </row>
    <row r="44" spans="1:7" ht="17.25" x14ac:dyDescent="0.25">
      <c r="A44" s="232"/>
      <c r="B44" s="233"/>
      <c r="C44" s="231"/>
      <c r="D44" s="231"/>
      <c r="E44" s="231"/>
      <c r="F44" s="231"/>
      <c r="G44" s="231"/>
    </row>
    <row r="45" spans="1:7" x14ac:dyDescent="0.25">
      <c r="A45" s="232"/>
      <c r="B45" s="233" t="inlineStr">
        <is>
          <t xml:space="preserve">Resultados anuales</t>
        </is>
      </c>
      <c r="C45" s="231" t="inlineStr">
        <is>
          <t xml:space="preserve">Junta Directiva e IDEA</t>
        </is>
      </c>
      <c r="D45" s="231" t="inlineStr">
        <is>
          <t xml:space="preserve">Informe de gestión</t>
        </is>
      </c>
      <c r="E45" s="231" t="inlineStr">
        <is>
          <t xml:space="preserve">Capítulo de TI</t>
        </is>
      </c>
      <c r="F45" s="231" t="inlineStr">
        <is>
          <t xml:space="preserve">Gerente de TI</t>
        </is>
      </c>
      <c r="G45" s="231" t="inlineStr">
        <is>
          <t xml:space="preserve">Anual</t>
        </is>
      </c>
    </row>
    <row r="46" spans="1:7" ht="17.25" x14ac:dyDescent="0.25">
      <c r="A46" s="232"/>
      <c r="B46" s="233"/>
      <c r="C46" s="231"/>
      <c r="D46" s="231"/>
      <c r="E46" s="231"/>
      <c r="F46" s="231"/>
      <c r="G46" s="231"/>
    </row>
    <row r="47" spans="1:7" ht="17.25" x14ac:dyDescent="0.25">
      <c r="A47" s="232"/>
      <c r="B47" s="233"/>
      <c r="C47" s="231"/>
      <c r="D47" s="231"/>
      <c r="E47" s="231"/>
      <c r="F47" s="231"/>
      <c r="G47" s="231"/>
    </row>
    <row r="48">
      <c r="A48" s="232"/>
      <c r="B48" s="233" t="inlineStr">
        <is>
          <t xml:space="preserve">Inducción y reinducción</t>
        </is>
      </c>
      <c r="C48" s="231" t="inlineStr">
        <is>
          <t xml:space="preserve">Colaboradores nuevos y antiguos</t>
        </is>
      </c>
      <c r="D48" s="231" t="inlineStr">
        <is>
          <t xml:space="preserve">Programa de Capital Humano</t>
        </is>
      </c>
      <c r="E48" s="231" t="inlineStr">
        <is>
          <t xml:space="preserve">Módulo del PETI</t>
        </is>
      </c>
      <c r="F48" s="231" t="inlineStr">
        <is>
          <t xml:space="preserve">Capital Humano y Gerencia de TI</t>
        </is>
      </c>
      <c r="G48" s="231" t="inlineStr">
        <is>
          <t xml:space="preserve">En cada inducción</t>
        </is>
      </c>
    </row>
    <row r="49">
      <c r="A49" s="232"/>
      <c r="B49" s="233"/>
      <c r="C49" s="231"/>
      <c r="D49" s="231"/>
      <c r="E49" s="231"/>
      <c r="F49" s="231"/>
      <c r="G49" s="231"/>
    </row>
    <row r="50">
      <c r="A50" s="232"/>
      <c r="B50" s="233"/>
      <c r="C50" s="231"/>
      <c r="D50" s="231"/>
      <c r="E50" s="231"/>
      <c r="F50" s="231"/>
      <c r="G50" s="231"/>
    </row>
  </sheetData>
  <mergeCells count="10">
    <mergeCell ref="B24:B26"/>
    <mergeCell ref="B27:B29"/>
    <mergeCell ref="B30:B32"/>
    <mergeCell ref="B33:B35"/>
    <mergeCell ref="B36:B38"/>
    <mergeCell ref="B39:B41"/>
    <mergeCell ref="B42:B44"/>
    <mergeCell ref="B45:B47"/>
    <mergeCell ref="B48:B50"/>
    <mergeCell ref="A23:A50"/>
  </mergeCells>
  <pageMargins left="0.7" right="0.7" top="0.75" bottom="0.75" header="0.3" footer="0.3"/>
  <pageSetup scale="58" fitToHeight="0" orientation="portrait" verticalDpi="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2BBE0-3723-4FDC-824A-6C3E39EE29BE}">
  <dimension ref="A6:A12"/>
  <sheetViews>
    <sheetView showGridLines="0" workbookViewId="0">
      <selection activeCell="B10" sqref="B10"/>
    </sheetView>
  </sheetViews>
  <sheetFormatPr baseColWidth="10" defaultRowHeight="15" x14ac:dyDescent="0.25"/>
  <cols>
    <col min="1" max="1" width="38.7109375" customWidth="1"/>
  </cols>
  <sheetData>
    <row r="6" spans="1:1" x14ac:dyDescent="0.25">
      <c r="A6" t="s">
        <v>350</v>
      </c>
    </row>
    <row r="7" spans="1:1" x14ac:dyDescent="0.25">
      <c r="A7" t="s">
        <v>351</v>
      </c>
    </row>
    <row r="8" spans="1:1" x14ac:dyDescent="0.25">
      <c r="A8" t="s">
        <v>355</v>
      </c>
    </row>
    <row r="9" spans="1:1" x14ac:dyDescent="0.25">
      <c r="A9" t="s">
        <v>352</v>
      </c>
    </row>
    <row r="10" spans="1:1" x14ac:dyDescent="0.25">
      <c r="A10" t="s">
        <v>353</v>
      </c>
    </row>
    <row r="11" spans="1:1" x14ac:dyDescent="0.25">
      <c r="A11" t="s">
        <v>354</v>
      </c>
    </row>
    <row r="12" spans="1:1" x14ac:dyDescent="0.25">
      <c r="A12" t="s">
        <v>356</v>
      </c>
    </row>
  </sheetData>
  <pageMargins left="0.7" right="0.7" top="0.75" bottom="0.75" header="0.3" footer="0.3"/>
  <pageSetup orientation="portrait" verticalDpi="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67F5E-4813-4059-BEBA-5A4DEF3EC521}">
  <dimension ref="A1:G7"/>
  <sheetViews>
    <sheetView workbookViewId="0">
      <selection activeCell="B3" sqref="B3"/>
    </sheetView>
  </sheetViews>
  <sheetFormatPr baseColWidth="10" defaultColWidth="11.42578125" defaultRowHeight="15" x14ac:dyDescent="0.25"/>
  <cols>
    <col min="2" max="2" width="7.85546875" customWidth="1"/>
    <col min="3" max="3" width="6.28515625" bestFit="1" customWidth="1"/>
    <col min="4" max="4" width="13.42578125" customWidth="1"/>
    <col min="5" max="6" width="9.85546875" customWidth="1"/>
    <col min="7" max="7" width="22.5703125" customWidth="1"/>
  </cols>
  <sheetData>
    <row r="1" spans="1:7" x14ac:dyDescent="0.25">
      <c r="A1" s="227" t="s">
        <v>225</v>
      </c>
      <c r="B1" s="227"/>
      <c r="C1" s="227" t="s">
        <v>226</v>
      </c>
      <c r="D1" s="227"/>
      <c r="E1" s="227" t="s">
        <v>35</v>
      </c>
      <c r="F1" s="227"/>
      <c r="G1" s="1" t="s">
        <v>227</v>
      </c>
    </row>
    <row r="2" spans="1:7" x14ac:dyDescent="0.25">
      <c r="A2" t="s">
        <v>228</v>
      </c>
      <c r="B2">
        <v>0</v>
      </c>
      <c r="C2" t="s">
        <v>229</v>
      </c>
      <c r="D2">
        <v>10</v>
      </c>
      <c r="E2" t="s">
        <v>229</v>
      </c>
      <c r="F2">
        <v>0</v>
      </c>
      <c r="G2">
        <v>0</v>
      </c>
    </row>
    <row r="3" spans="1:7" x14ac:dyDescent="0.25">
      <c r="A3" t="s">
        <v>230</v>
      </c>
      <c r="B3">
        <v>10</v>
      </c>
      <c r="C3" t="s">
        <v>231</v>
      </c>
      <c r="D3">
        <v>5</v>
      </c>
      <c r="E3" t="s">
        <v>231</v>
      </c>
      <c r="F3">
        <v>5</v>
      </c>
      <c r="G3">
        <v>1</v>
      </c>
    </row>
    <row r="4" spans="1:7" x14ac:dyDescent="0.25">
      <c r="C4" t="s">
        <v>232</v>
      </c>
      <c r="D4">
        <v>0</v>
      </c>
      <c r="E4" t="s">
        <v>232</v>
      </c>
      <c r="F4">
        <v>10</v>
      </c>
      <c r="G4">
        <v>2</v>
      </c>
    </row>
    <row r="5" spans="1:7" x14ac:dyDescent="0.25">
      <c r="G5">
        <v>3</v>
      </c>
    </row>
    <row r="6" spans="1:7" x14ac:dyDescent="0.25">
      <c r="G6">
        <v>4</v>
      </c>
    </row>
    <row r="7" spans="1:7" x14ac:dyDescent="0.25">
      <c r="G7">
        <v>5</v>
      </c>
    </row>
  </sheetData>
  <mergeCells count="3">
    <mergeCell ref="A1:B1"/>
    <mergeCell ref="C1:D1"/>
    <mergeCell ref="E1:F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1050EFCBD19CC84EBA89BA6F3C2E7EBC" ma:contentTypeVersion="16" ma:contentTypeDescription="Crear nuevo documento." ma:contentTypeScope="" ma:versionID="d7b5e1e4c021bf0ba4a913ecf046a56c">
  <xsd:schema xmlns:xsd="http://www.w3.org/2001/XMLSchema" xmlns:xs="http://www.w3.org/2001/XMLSchema" xmlns:p="http://schemas.microsoft.com/office/2006/metadata/properties" xmlns:ns2="8a193dd1-3b04-43e6-a8c1-ca273de0df03" xmlns:ns3="b215d373-4ab1-4c9a-82d3-9624ee888acd" targetNamespace="http://schemas.microsoft.com/office/2006/metadata/properties" ma:root="true" ma:fieldsID="1d1b63591c1fde4239a1ae81da960402" ns2:_="" ns3:_="">
    <xsd:import namespace="8a193dd1-3b04-43e6-a8c1-ca273de0df03"/>
    <xsd:import namespace="b215d373-4ab1-4c9a-82d3-9624ee888ac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193dd1-3b04-43e6-a8c1-ca273de0df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c427b5ec-ef2e-485d-a942-29e3b2b0a250"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215d373-4ab1-4c9a-82d3-9624ee888acd"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bd410323-c59b-436c-97fb-4fd0689ce212}" ma:internalName="TaxCatchAll" ma:showField="CatchAllData" ma:web="b215d373-4ab1-4c9a-82d3-9624ee888ac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a193dd1-3b04-43e6-a8c1-ca273de0df03">
      <Terms xmlns="http://schemas.microsoft.com/office/infopath/2007/PartnerControls"/>
    </lcf76f155ced4ddcb4097134ff3c332f>
    <TaxCatchAll xmlns="b215d373-4ab1-4c9a-82d3-9624ee888acd" xsi:nil="true"/>
  </documentManagement>
</p:properties>
</file>

<file path=customXml/itemProps1.xml><?xml version="1.0" encoding="utf-8"?>
<ds:datastoreItem xmlns:ds="http://schemas.openxmlformats.org/officeDocument/2006/customXml" ds:itemID="{8D1D6EFB-219F-4CCA-B305-A288231CB351}">
  <ds:schemaRefs>
    <ds:schemaRef ds:uri="http://schemas.microsoft.com/sharepoint/v3/contenttype/forms"/>
  </ds:schemaRefs>
</ds:datastoreItem>
</file>

<file path=customXml/itemProps2.xml><?xml version="1.0" encoding="utf-8"?>
<ds:datastoreItem xmlns:ds="http://schemas.openxmlformats.org/officeDocument/2006/customXml" ds:itemID="{5306A2BA-C2C3-487F-92D9-172450639F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a193dd1-3b04-43e6-a8c1-ca273de0df03"/>
    <ds:schemaRef ds:uri="b215d373-4ab1-4c9a-82d3-9624ee888a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8BAFC5A-101C-4C20-86B6-D33DED71923B}">
  <ds:schemaRefs>
    <ds:schemaRef ds:uri="http://schemas.microsoft.com/office/2006/metadata/properties"/>
    <ds:schemaRef ds:uri="8a193dd1-3b04-43e6-a8c1-ca273de0df03"/>
    <ds:schemaRef ds:uri="http://schemas.openxmlformats.org/package/2006/metadata/core-properties"/>
    <ds:schemaRef ds:uri="http://purl.org/dc/terms/"/>
    <ds:schemaRef ds:uri="http://schemas.microsoft.com/office/infopath/2007/PartnerControls"/>
    <ds:schemaRef ds:uri="http://purl.org/dc/elements/1.1/"/>
    <ds:schemaRef ds:uri="http://schemas.microsoft.com/office/2006/documentManagement/types"/>
    <ds:schemaRef ds:uri="http://purl.org/dc/dcmitype/"/>
    <ds:schemaRef ds:uri="b215d373-4ab1-4c9a-82d3-9624ee888acd"/>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19</vt:i4>
      </vt:variant>
      <vt:variant>
        <vt:lpstr>Rangos con nombre</vt:lpstr>
      </vt:variant>
      <vt:variant>
        <vt:i4>4</vt:i4>
      </vt:variant>
    </vt:vector>
  </HeadingPairs>
  <TitlesOfParts>
    <vt:vector size="23" baseType="lpstr">
      <vt:lpstr>Fases y Actvidades</vt:lpstr>
      <vt:lpstr>Actividad 1</vt:lpstr>
      <vt:lpstr>Actividad 3</vt:lpstr>
      <vt:lpstr>Actividad 4A</vt:lpstr>
      <vt:lpstr>Actividad 4B</vt:lpstr>
      <vt:lpstr>Actividad 4C</vt:lpstr>
      <vt:lpstr>Actividad 4D</vt:lpstr>
      <vt:lpstr>Actividad 5</vt:lpstr>
      <vt:lpstr>Actividad 6</vt:lpstr>
      <vt:lpstr>Actividad 7</vt:lpstr>
      <vt:lpstr>Actividad 8</vt:lpstr>
      <vt:lpstr>Actividad 11</vt:lpstr>
      <vt:lpstr>Actividad 12</vt:lpstr>
      <vt:lpstr>Actividad 13</vt:lpstr>
      <vt:lpstr>Actividad 14 A</vt:lpstr>
      <vt:lpstr>Actividad 14 B</vt:lpstr>
      <vt:lpstr>Actividad 17</vt:lpstr>
      <vt:lpstr>Litas parametricas</vt:lpstr>
      <vt:lpstr>Calificaciones Sesión 4</vt:lpstr>
      <vt:lpstr>'Actividad 4A'!_ftnref4</vt:lpstr>
      <vt:lpstr>'Fases y Actvidades'!_Hlk8652917</vt:lpstr>
      <vt:lpstr>'Actividad 11'!Títulos_a_imprimir</vt:lpstr>
      <vt:lpstr>'Actividad 7'!Títulos_a_imprimir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Nicolás Sánchez Barrera</dc:creator>
  <cp:keywords/>
  <dc:description/>
  <cp:lastModifiedBy>Rokd Mery Deleon Monsalve</cp:lastModifiedBy>
  <cp:revision/>
  <cp:lastPrinted>2023-10-12T20:29:42Z</cp:lastPrinted>
  <dcterms:created xsi:type="dcterms:W3CDTF">2019-05-07T13:33:16Z</dcterms:created>
  <dcterms:modified xsi:type="dcterms:W3CDTF">2023-10-12T20:46:35Z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0x0101001050EFCBD19CC84EBA89BA6F3C2E7EBC</vt:lpwstr>
  </property>
  <property fmtid="{D5CDD505-2E9C-101B-9397-08002B2CF9AE}" pid="3" name="MediaServiceImageTags">
    <vt:lpwstr/>
  </property>
</Properties>
</file>